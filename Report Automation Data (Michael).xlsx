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870" yWindow="870" windowWidth="17655" windowHeight="9885" activeTab="3"/>
  </bookViews>
  <sheets>
    <sheet name="Sales_Data" sheetId="1" r:id="rId1"/>
    <sheet name="Sales Table" sheetId="2" r:id="rId2"/>
    <sheet name="Report Sheet" sheetId="3" r:id="rId3"/>
    <sheet name="Dashboard" sheetId="5" r:id="rId4"/>
  </sheets>
  <definedNames>
    <definedName name="Slicer_Order_Date">#N/A</definedName>
    <definedName name="Slicer_Product_Category">#N/A</definedName>
    <definedName name="Slicer_Region">#N/A</definedName>
  </definedNames>
  <calcPr calcId="144525"/>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3" l="1"/>
  <c r="B4" i="3"/>
  <c r="B3" i="3"/>
  <c r="B2" i="3"/>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alcChain>
</file>

<file path=xl/sharedStrings.xml><?xml version="1.0" encoding="utf-8"?>
<sst xmlns="http://schemas.openxmlformats.org/spreadsheetml/2006/main" count="6549" uniqueCount="818">
  <si>
    <t>Order Date</t>
  </si>
  <si>
    <t>Order ID</t>
  </si>
  <si>
    <t>Customer Name</t>
  </si>
  <si>
    <t>Region</t>
  </si>
  <si>
    <t>Product Category</t>
  </si>
  <si>
    <t>Product</t>
  </si>
  <si>
    <t>Quantity</t>
  </si>
  <si>
    <t>Unit Price</t>
  </si>
  <si>
    <t>Discount (%)</t>
  </si>
  <si>
    <t>Salesperson</t>
  </si>
  <si>
    <t>2026-07-19</t>
  </si>
  <si>
    <t>ORD10001</t>
  </si>
  <si>
    <t>Customer 47</t>
  </si>
  <si>
    <t>North</t>
  </si>
  <si>
    <t>Furniture</t>
  </si>
  <si>
    <t>Desk</t>
  </si>
  <si>
    <t>Fatima</t>
  </si>
  <si>
    <t>2026-02-26</t>
  </si>
  <si>
    <t>ORD10002</t>
  </si>
  <si>
    <t>Customer 40</t>
  </si>
  <si>
    <t>East</t>
  </si>
  <si>
    <t>Chair</t>
  </si>
  <si>
    <t>Ben</t>
  </si>
  <si>
    <t>2026-03-21</t>
  </si>
  <si>
    <t>ORD10003</t>
  </si>
  <si>
    <t>Customer 67</t>
  </si>
  <si>
    <t>West</t>
  </si>
  <si>
    <t>Accessories</t>
  </si>
  <si>
    <t>Webcam</t>
  </si>
  <si>
    <t>David</t>
  </si>
  <si>
    <t>2026-03-31</t>
  </si>
  <si>
    <t>ORD10004</t>
  </si>
  <si>
    <t>Customer 14</t>
  </si>
  <si>
    <t>Office Supplies</t>
  </si>
  <si>
    <t>Pen</t>
  </si>
  <si>
    <t>2026-03-18</t>
  </si>
  <si>
    <t>ORD10005</t>
  </si>
  <si>
    <t>Customer 22</t>
  </si>
  <si>
    <t>2026-06-19</t>
  </si>
  <si>
    <t>ORD10006</t>
  </si>
  <si>
    <t>Customer 73</t>
  </si>
  <si>
    <t>South</t>
  </si>
  <si>
    <t>Headset</t>
  </si>
  <si>
    <t>2026-03-07</t>
  </si>
  <si>
    <t>ORD10007</t>
  </si>
  <si>
    <t>Customer 48</t>
  </si>
  <si>
    <t>Printer Paper</t>
  </si>
  <si>
    <t>Chris</t>
  </si>
  <si>
    <t>2026-02-01</t>
  </si>
  <si>
    <t>ORD10008</t>
  </si>
  <si>
    <t>Customer 27</t>
  </si>
  <si>
    <t>USB Drive</t>
  </si>
  <si>
    <t>2026-04-07</t>
  </si>
  <si>
    <t>ORD10009</t>
  </si>
  <si>
    <t>2026-06-28</t>
  </si>
  <si>
    <t>ORD10010</t>
  </si>
  <si>
    <t>2026-07-18</t>
  </si>
  <si>
    <t>ORD10011</t>
  </si>
  <si>
    <t>Customer 71</t>
  </si>
  <si>
    <t>2026-03-11</t>
  </si>
  <si>
    <t>ORD10012</t>
  </si>
  <si>
    <t>Customer 60</t>
  </si>
  <si>
    <t>Electronics</t>
  </si>
  <si>
    <t>Laptop</t>
  </si>
  <si>
    <t>2026-04-16</t>
  </si>
  <si>
    <t>ORD10013</t>
  </si>
  <si>
    <t>Customer 29</t>
  </si>
  <si>
    <t>2026-06-16</t>
  </si>
  <si>
    <t>ORD10014</t>
  </si>
  <si>
    <t>Customer 72</t>
  </si>
  <si>
    <t>2026-02-20</t>
  </si>
  <si>
    <t>ORD10015</t>
  </si>
  <si>
    <t>Customer 16</t>
  </si>
  <si>
    <t>Monitor</t>
  </si>
  <si>
    <t>ORD10016</t>
  </si>
  <si>
    <t>Customer 1</t>
  </si>
  <si>
    <t>Cabinet</t>
  </si>
  <si>
    <t>2026-01-30</t>
  </si>
  <si>
    <t>ORD10017</t>
  </si>
  <si>
    <t>Mouse</t>
  </si>
  <si>
    <t>2026-07-17</t>
  </si>
  <si>
    <t>ORD10018</t>
  </si>
  <si>
    <t>Notebook</t>
  </si>
  <si>
    <t>2026-02-02</t>
  </si>
  <si>
    <t>ORD10019</t>
  </si>
  <si>
    <t>Customer 53</t>
  </si>
  <si>
    <t>2026-01-25</t>
  </si>
  <si>
    <t>ORD10020</t>
  </si>
  <si>
    <t>Customer 15</t>
  </si>
  <si>
    <t>2026-06-02</t>
  </si>
  <si>
    <t>ORD10021</t>
  </si>
  <si>
    <t>Customer 70</t>
  </si>
  <si>
    <t>Keyboard</t>
  </si>
  <si>
    <t>2026-05-09</t>
  </si>
  <si>
    <t>ORD10022</t>
  </si>
  <si>
    <t>2026-04-29</t>
  </si>
  <si>
    <t>ORD10023</t>
  </si>
  <si>
    <t>Customer 55</t>
  </si>
  <si>
    <t>Alice</t>
  </si>
  <si>
    <t>2026-01-28</t>
  </si>
  <si>
    <t>ORD10024</t>
  </si>
  <si>
    <t>Customer 5</t>
  </si>
  <si>
    <t>2026-01-10</t>
  </si>
  <si>
    <t>ORD10025</t>
  </si>
  <si>
    <t>Customer 21</t>
  </si>
  <si>
    <t>2026-06-27</t>
  </si>
  <si>
    <t>ORD10026</t>
  </si>
  <si>
    <t>Customer 17</t>
  </si>
  <si>
    <t>Emma</t>
  </si>
  <si>
    <t>2026-04-11</t>
  </si>
  <si>
    <t>ORD10027</t>
  </si>
  <si>
    <t>ORD10028</t>
  </si>
  <si>
    <t>Customer 6</t>
  </si>
  <si>
    <t>2026-03-24</t>
  </si>
  <si>
    <t>ORD10029</t>
  </si>
  <si>
    <t>2026-01-12</t>
  </si>
  <si>
    <t>ORD10030</t>
  </si>
  <si>
    <t>Customer 42</t>
  </si>
  <si>
    <t>2026-02-07</t>
  </si>
  <si>
    <t>ORD10031</t>
  </si>
  <si>
    <t>2026-07-29</t>
  </si>
  <si>
    <t>ORD10032</t>
  </si>
  <si>
    <t>2026-06-18</t>
  </si>
  <si>
    <t>ORD10033</t>
  </si>
  <si>
    <t>Customer 38</t>
  </si>
  <si>
    <t>2026-04-25</t>
  </si>
  <si>
    <t>ORD10034</t>
  </si>
  <si>
    <t>2026-07-16</t>
  </si>
  <si>
    <t>ORD10035</t>
  </si>
  <si>
    <t>Customer 51</t>
  </si>
  <si>
    <t>2026-02-19</t>
  </si>
  <si>
    <t>ORD10036</t>
  </si>
  <si>
    <t>Customer 13</t>
  </si>
  <si>
    <t>2026-03-06</t>
  </si>
  <si>
    <t>ORD10037</t>
  </si>
  <si>
    <t>Customer 28</t>
  </si>
  <si>
    <t>2026-03-29</t>
  </si>
  <si>
    <t>ORD10038</t>
  </si>
  <si>
    <t>2026-05-14</t>
  </si>
  <si>
    <t>ORD10039</t>
  </si>
  <si>
    <t>2026-01-08</t>
  </si>
  <si>
    <t>ORD10040</t>
  </si>
  <si>
    <t>Customer 34</t>
  </si>
  <si>
    <t>2026-04-30</t>
  </si>
  <si>
    <t>ORD10041</t>
  </si>
  <si>
    <t>Customer 2</t>
  </si>
  <si>
    <t>2026-05-01</t>
  </si>
  <si>
    <t>ORD10042</t>
  </si>
  <si>
    <t>2026-02-25</t>
  </si>
  <si>
    <t>ORD10043</t>
  </si>
  <si>
    <t>Customer 45</t>
  </si>
  <si>
    <t>2026-06-08</t>
  </si>
  <si>
    <t>ORD10044</t>
  </si>
  <si>
    <t>2026-01-16</t>
  </si>
  <si>
    <t>ORD10045</t>
  </si>
  <si>
    <t>Customer 36</t>
  </si>
  <si>
    <t>2026-07-25</t>
  </si>
  <si>
    <t>ORD10046</t>
  </si>
  <si>
    <t>Customer 43</t>
  </si>
  <si>
    <t>2026-04-02</t>
  </si>
  <si>
    <t>ORD10047</t>
  </si>
  <si>
    <t>ORD10048</t>
  </si>
  <si>
    <t>2026-04-01</t>
  </si>
  <si>
    <t>ORD10049</t>
  </si>
  <si>
    <t>2026-01-09</t>
  </si>
  <si>
    <t>ORD10050</t>
  </si>
  <si>
    <t>2026-05-22</t>
  </si>
  <si>
    <t>ORD10051</t>
  </si>
  <si>
    <t>Customer 44</t>
  </si>
  <si>
    <t>ORD10052</t>
  </si>
  <si>
    <t>Customer 32</t>
  </si>
  <si>
    <t>2026-02-16</t>
  </si>
  <si>
    <t>ORD10053</t>
  </si>
  <si>
    <t>2026-03-04</t>
  </si>
  <si>
    <t>ORD10054</t>
  </si>
  <si>
    <t>Customer 46</t>
  </si>
  <si>
    <t>2026-01-31</t>
  </si>
  <si>
    <t>ORD10055</t>
  </si>
  <si>
    <t>2026-03-17</t>
  </si>
  <si>
    <t>ORD10056</t>
  </si>
  <si>
    <t>2026-04-26</t>
  </si>
  <si>
    <t>ORD10057</t>
  </si>
  <si>
    <t>2026-07-14</t>
  </si>
  <si>
    <t>ORD10058</t>
  </si>
  <si>
    <t>2026-04-21</t>
  </si>
  <si>
    <t>ORD10059</t>
  </si>
  <si>
    <t>Customer 35</t>
  </si>
  <si>
    <t>2026-01-27</t>
  </si>
  <si>
    <t>ORD10060</t>
  </si>
  <si>
    <t>ORD10061</t>
  </si>
  <si>
    <t>2026-06-10</t>
  </si>
  <si>
    <t>ORD10062</t>
  </si>
  <si>
    <t>Customer 18</t>
  </si>
  <si>
    <t>2026-02-28</t>
  </si>
  <si>
    <t>ORD10063</t>
  </si>
  <si>
    <t>ORD10064</t>
  </si>
  <si>
    <t>Customer 58</t>
  </si>
  <si>
    <t>2026-06-15</t>
  </si>
  <si>
    <t>ORD10065</t>
  </si>
  <si>
    <t>2026-02-15</t>
  </si>
  <si>
    <t>ORD10066</t>
  </si>
  <si>
    <t>Customer 12</t>
  </si>
  <si>
    <t>2026-03-02</t>
  </si>
  <si>
    <t>ORD10067</t>
  </si>
  <si>
    <t>Customer 30</t>
  </si>
  <si>
    <t>ORD10068</t>
  </si>
  <si>
    <t>2026-04-20</t>
  </si>
  <si>
    <t>ORD10069</t>
  </si>
  <si>
    <t>2026-06-21</t>
  </si>
  <si>
    <t>ORD10070</t>
  </si>
  <si>
    <t>Customer 49</t>
  </si>
  <si>
    <t>2026-04-15</t>
  </si>
  <si>
    <t>ORD10071</t>
  </si>
  <si>
    <t>Customer 59</t>
  </si>
  <si>
    <t>2026-07-21</t>
  </si>
  <si>
    <t>ORD10072</t>
  </si>
  <si>
    <t>Customer 75</t>
  </si>
  <si>
    <t>2026-04-24</t>
  </si>
  <si>
    <t>ORD10073</t>
  </si>
  <si>
    <t>2026-01-29</t>
  </si>
  <si>
    <t>ORD10074</t>
  </si>
  <si>
    <t>ORD10075</t>
  </si>
  <si>
    <t>Customer 39</t>
  </si>
  <si>
    <t>ORD10076</t>
  </si>
  <si>
    <t>2026-03-15</t>
  </si>
  <si>
    <t>ORD10077</t>
  </si>
  <si>
    <t>2026-04-28</t>
  </si>
  <si>
    <t>ORD10078</t>
  </si>
  <si>
    <t>ORD10079</t>
  </si>
  <si>
    <t>Customer 31</t>
  </si>
  <si>
    <t>2026-07-06</t>
  </si>
  <si>
    <t>ORD10080</t>
  </si>
  <si>
    <t>2026-06-29</t>
  </si>
  <si>
    <t>ORD10081</t>
  </si>
  <si>
    <t>2026-04-19</t>
  </si>
  <si>
    <t>ORD10082</t>
  </si>
  <si>
    <t>Customer 19</t>
  </si>
  <si>
    <t>2026-02-04</t>
  </si>
  <si>
    <t>ORD10083</t>
  </si>
  <si>
    <t>Customer 76</t>
  </si>
  <si>
    <t>2026-07-03</t>
  </si>
  <si>
    <t>ORD10084</t>
  </si>
  <si>
    <t>2026-06-23</t>
  </si>
  <si>
    <t>ORD10085</t>
  </si>
  <si>
    <t>ORD10086</t>
  </si>
  <si>
    <t>2026-05-24</t>
  </si>
  <si>
    <t>ORD10087</t>
  </si>
  <si>
    <t>2026-05-28</t>
  </si>
  <si>
    <t>ORD10088</t>
  </si>
  <si>
    <t>2026-03-27</t>
  </si>
  <si>
    <t>ORD10089</t>
  </si>
  <si>
    <t>Customer 79</t>
  </si>
  <si>
    <t>2026-06-11</t>
  </si>
  <si>
    <t>ORD10090</t>
  </si>
  <si>
    <t>Customer 11</t>
  </si>
  <si>
    <t>ORD10091</t>
  </si>
  <si>
    <t>Customer 9</t>
  </si>
  <si>
    <t>ORD10092</t>
  </si>
  <si>
    <t>Customer 26</t>
  </si>
  <si>
    <t>2026-05-25</t>
  </si>
  <si>
    <t>ORD10093</t>
  </si>
  <si>
    <t>Customer 20</t>
  </si>
  <si>
    <t>ORD10094</t>
  </si>
  <si>
    <t>2026-07-30</t>
  </si>
  <si>
    <t>ORD10095</t>
  </si>
  <si>
    <t>Customer 24</t>
  </si>
  <si>
    <t>2026-04-14</t>
  </si>
  <si>
    <t>ORD10096</t>
  </si>
  <si>
    <t>ORD10097</t>
  </si>
  <si>
    <t>Customer 56</t>
  </si>
  <si>
    <t>2026-06-22</t>
  </si>
  <si>
    <t>ORD10098</t>
  </si>
  <si>
    <t>Customer 25</t>
  </si>
  <si>
    <t>2026-07-02</t>
  </si>
  <si>
    <t>ORD10099</t>
  </si>
  <si>
    <t>Customer 69</t>
  </si>
  <si>
    <t>2026-02-22</t>
  </si>
  <si>
    <t>ORD10100</t>
  </si>
  <si>
    <t>ORD10101</t>
  </si>
  <si>
    <t>Customer 4</t>
  </si>
  <si>
    <t>ORD10102</t>
  </si>
  <si>
    <t>2026-06-24</t>
  </si>
  <si>
    <t>ORD10103</t>
  </si>
  <si>
    <t>2026-04-09</t>
  </si>
  <si>
    <t>ORD10104</t>
  </si>
  <si>
    <t>ORD10105</t>
  </si>
  <si>
    <t>ORD10106</t>
  </si>
  <si>
    <t>ORD10107</t>
  </si>
  <si>
    <t>ORD10108</t>
  </si>
  <si>
    <t>Customer 8</t>
  </si>
  <si>
    <t>ORD10109</t>
  </si>
  <si>
    <t>2026-03-10</t>
  </si>
  <si>
    <t>ORD10110</t>
  </si>
  <si>
    <t>2026-05-20</t>
  </si>
  <si>
    <t>ORD10111</t>
  </si>
  <si>
    <t>ORD10112</t>
  </si>
  <si>
    <t>ORD10113</t>
  </si>
  <si>
    <t>2026-02-24</t>
  </si>
  <si>
    <t>ORD10114</t>
  </si>
  <si>
    <t>2026-07-15</t>
  </si>
  <si>
    <t>ORD10115</t>
  </si>
  <si>
    <t>2026-01-15</t>
  </si>
  <si>
    <t>ORD10116</t>
  </si>
  <si>
    <t>ORD10117</t>
  </si>
  <si>
    <t>ORD10118</t>
  </si>
  <si>
    <t>2026-01-26</t>
  </si>
  <si>
    <t>ORD10119</t>
  </si>
  <si>
    <t>Customer 65</t>
  </si>
  <si>
    <t>2026-01-21</t>
  </si>
  <si>
    <t>ORD10120</t>
  </si>
  <si>
    <t>ORD10121</t>
  </si>
  <si>
    <t>2026-01-17</t>
  </si>
  <si>
    <t>ORD10122</t>
  </si>
  <si>
    <t>ORD10123</t>
  </si>
  <si>
    <t>Customer 23</t>
  </si>
  <si>
    <t>ORD10124</t>
  </si>
  <si>
    <t>2026-04-27</t>
  </si>
  <si>
    <t>ORD10125</t>
  </si>
  <si>
    <t>Customer 50</t>
  </si>
  <si>
    <t>2026-05-29</t>
  </si>
  <si>
    <t>ORD10126</t>
  </si>
  <si>
    <t>2026-01-11</t>
  </si>
  <si>
    <t>ORD10127</t>
  </si>
  <si>
    <t>2026-05-07</t>
  </si>
  <si>
    <t>ORD10128</t>
  </si>
  <si>
    <t>ORD10129</t>
  </si>
  <si>
    <t>ORD10130</t>
  </si>
  <si>
    <t>ORD10131</t>
  </si>
  <si>
    <t>2026-01-18</t>
  </si>
  <si>
    <t>ORD10132</t>
  </si>
  <si>
    <t>2026-07-05</t>
  </si>
  <si>
    <t>ORD10133</t>
  </si>
  <si>
    <t>ORD10134</t>
  </si>
  <si>
    <t>Customer 80</t>
  </si>
  <si>
    <t>ORD10135</t>
  </si>
  <si>
    <t>2026-01-23</t>
  </si>
  <si>
    <t>ORD10136</t>
  </si>
  <si>
    <t>ORD10137</t>
  </si>
  <si>
    <t>ORD10138</t>
  </si>
  <si>
    <t>2026-03-13</t>
  </si>
  <si>
    <t>ORD10139</t>
  </si>
  <si>
    <t>ORD10140</t>
  </si>
  <si>
    <t>2026-02-06</t>
  </si>
  <si>
    <t>ORD10141</t>
  </si>
  <si>
    <t>ORD10142</t>
  </si>
  <si>
    <t>ORD10143</t>
  </si>
  <si>
    <t>Customer 78</t>
  </si>
  <si>
    <t>ORD10144</t>
  </si>
  <si>
    <t>ORD10145</t>
  </si>
  <si>
    <t>2026-04-18</t>
  </si>
  <si>
    <t>ORD10146</t>
  </si>
  <si>
    <t>ORD10147</t>
  </si>
  <si>
    <t>Customer 41</t>
  </si>
  <si>
    <t>ORD10148</t>
  </si>
  <si>
    <t>2026-06-01</t>
  </si>
  <si>
    <t>ORD10149</t>
  </si>
  <si>
    <t>Customer 52</t>
  </si>
  <si>
    <t>ORD10150</t>
  </si>
  <si>
    <t>2026-06-14</t>
  </si>
  <si>
    <t>ORD10151</t>
  </si>
  <si>
    <t>ORD10152</t>
  </si>
  <si>
    <t>2026-01-02</t>
  </si>
  <si>
    <t>ORD10153</t>
  </si>
  <si>
    <t>ORD10154</t>
  </si>
  <si>
    <t>2026-05-19</t>
  </si>
  <si>
    <t>ORD10155</t>
  </si>
  <si>
    <t>ORD10156</t>
  </si>
  <si>
    <t>ORD10157</t>
  </si>
  <si>
    <t>2026-04-04</t>
  </si>
  <si>
    <t>ORD10158</t>
  </si>
  <si>
    <t>Customer 62</t>
  </si>
  <si>
    <t>ORD10159</t>
  </si>
  <si>
    <t>2026-06-09</t>
  </si>
  <si>
    <t>ORD10160</t>
  </si>
  <si>
    <t>ORD10161</t>
  </si>
  <si>
    <t>2026-01-24</t>
  </si>
  <si>
    <t>ORD10162</t>
  </si>
  <si>
    <t>2026-07-26</t>
  </si>
  <si>
    <t>ORD10163</t>
  </si>
  <si>
    <t>Customer 10</t>
  </si>
  <si>
    <t>2026-06-12</t>
  </si>
  <si>
    <t>ORD10164</t>
  </si>
  <si>
    <t>Customer 64</t>
  </si>
  <si>
    <t>2026-06-13</t>
  </si>
  <si>
    <t>ORD10165</t>
  </si>
  <si>
    <t>ORD10166</t>
  </si>
  <si>
    <t>Customer 33</t>
  </si>
  <si>
    <t>2026-06-07</t>
  </si>
  <si>
    <t>ORD10167</t>
  </si>
  <si>
    <t>2026-05-30</t>
  </si>
  <si>
    <t>ORD10168</t>
  </si>
  <si>
    <t>2026-04-13</t>
  </si>
  <si>
    <t>ORD10169</t>
  </si>
  <si>
    <t>2026-05-04</t>
  </si>
  <si>
    <t>ORD10170</t>
  </si>
  <si>
    <t>ORD10171</t>
  </si>
  <si>
    <t>ORD10172</t>
  </si>
  <si>
    <t>Customer 63</t>
  </si>
  <si>
    <t>2026-07-13</t>
  </si>
  <si>
    <t>ORD10173</t>
  </si>
  <si>
    <t>ORD10174</t>
  </si>
  <si>
    <t>2026-02-13</t>
  </si>
  <si>
    <t>ORD10175</t>
  </si>
  <si>
    <t>ORD10176</t>
  </si>
  <si>
    <t>2026-03-12</t>
  </si>
  <si>
    <t>ORD10177</t>
  </si>
  <si>
    <t>Customer 37</t>
  </si>
  <si>
    <t>2026-04-12</t>
  </si>
  <si>
    <t>ORD10178</t>
  </si>
  <si>
    <t>2026-04-22</t>
  </si>
  <si>
    <t>ORD10179</t>
  </si>
  <si>
    <t>2026-05-21</t>
  </si>
  <si>
    <t>ORD10180</t>
  </si>
  <si>
    <t>ORD10181</t>
  </si>
  <si>
    <t>Customer 54</t>
  </si>
  <si>
    <t>ORD10182</t>
  </si>
  <si>
    <t>ORD10183</t>
  </si>
  <si>
    <t>2026-05-13</t>
  </si>
  <si>
    <t>ORD10184</t>
  </si>
  <si>
    <t>2026-05-06</t>
  </si>
  <si>
    <t>ORD10185</t>
  </si>
  <si>
    <t>ORD10186</t>
  </si>
  <si>
    <t>Customer 68</t>
  </si>
  <si>
    <t>ORD10187</t>
  </si>
  <si>
    <t>2026-02-12</t>
  </si>
  <si>
    <t>ORD10188</t>
  </si>
  <si>
    <t>ORD10189</t>
  </si>
  <si>
    <t>ORD10190</t>
  </si>
  <si>
    <t>Customer 57</t>
  </si>
  <si>
    <t>2026-05-31</t>
  </si>
  <si>
    <t>ORD10191</t>
  </si>
  <si>
    <t>ORD10192</t>
  </si>
  <si>
    <t>2026-03-03</t>
  </si>
  <si>
    <t>ORD10193</t>
  </si>
  <si>
    <t>ORD10194</t>
  </si>
  <si>
    <t>2026-02-23</t>
  </si>
  <si>
    <t>ORD10195</t>
  </si>
  <si>
    <t>ORD10196</t>
  </si>
  <si>
    <t>ORD10197</t>
  </si>
  <si>
    <t>ORD10198</t>
  </si>
  <si>
    <t>ORD10199</t>
  </si>
  <si>
    <t>2026-06-17</t>
  </si>
  <si>
    <t>ORD10200</t>
  </si>
  <si>
    <t>ORD10201</t>
  </si>
  <si>
    <t>ORD10202</t>
  </si>
  <si>
    <t>ORD10203</t>
  </si>
  <si>
    <t>2026-07-08</t>
  </si>
  <si>
    <t>ORD10204</t>
  </si>
  <si>
    <t>Customer 66</t>
  </si>
  <si>
    <t>2026-03-16</t>
  </si>
  <si>
    <t>ORD10205</t>
  </si>
  <si>
    <t>ORD10206</t>
  </si>
  <si>
    <t>ORD10207</t>
  </si>
  <si>
    <t>ORD10208</t>
  </si>
  <si>
    <t>ORD10209</t>
  </si>
  <si>
    <t>Customer 7</t>
  </si>
  <si>
    <t>ORD10210</t>
  </si>
  <si>
    <t>Customer 74</t>
  </si>
  <si>
    <t>2026-04-03</t>
  </si>
  <si>
    <t>ORD10211</t>
  </si>
  <si>
    <t>ORD10212</t>
  </si>
  <si>
    <t>ORD10213</t>
  </si>
  <si>
    <t>ORD10214</t>
  </si>
  <si>
    <t>2026-07-12</t>
  </si>
  <si>
    <t>ORD10215</t>
  </si>
  <si>
    <t>2026-04-23</t>
  </si>
  <si>
    <t>ORD10216</t>
  </si>
  <si>
    <t>ORD10217</t>
  </si>
  <si>
    <t>ORD10218</t>
  </si>
  <si>
    <t>ORD10219</t>
  </si>
  <si>
    <t>ORD10220</t>
  </si>
  <si>
    <t>2026-06-03</t>
  </si>
  <si>
    <t>ORD10221</t>
  </si>
  <si>
    <t>2026-05-08</t>
  </si>
  <si>
    <t>ORD10222</t>
  </si>
  <si>
    <t>ORD10223</t>
  </si>
  <si>
    <t>Customer 3</t>
  </si>
  <si>
    <t>2026-02-08</t>
  </si>
  <si>
    <t>ORD10224</t>
  </si>
  <si>
    <t>ORD10225</t>
  </si>
  <si>
    <t>ORD10226</t>
  </si>
  <si>
    <t>ORD10227</t>
  </si>
  <si>
    <t>2026-03-25</t>
  </si>
  <si>
    <t>ORD10228</t>
  </si>
  <si>
    <t>ORD10229</t>
  </si>
  <si>
    <t>ORD10230</t>
  </si>
  <si>
    <t>2026-01-19</t>
  </si>
  <si>
    <t>ORD10231</t>
  </si>
  <si>
    <t>ORD10232</t>
  </si>
  <si>
    <t>ORD10233</t>
  </si>
  <si>
    <t>2026-02-18</t>
  </si>
  <si>
    <t>ORD10234</t>
  </si>
  <si>
    <t>ORD10235</t>
  </si>
  <si>
    <t>ORD10236</t>
  </si>
  <si>
    <t>ORD10237</t>
  </si>
  <si>
    <t>ORD10238</t>
  </si>
  <si>
    <t>ORD10239</t>
  </si>
  <si>
    <t>ORD10240</t>
  </si>
  <si>
    <t>ORD10241</t>
  </si>
  <si>
    <t>ORD10242</t>
  </si>
  <si>
    <t>ORD10243</t>
  </si>
  <si>
    <t>2026-04-05</t>
  </si>
  <si>
    <t>ORD10244</t>
  </si>
  <si>
    <t>Customer 61</t>
  </si>
  <si>
    <t>ORD10245</t>
  </si>
  <si>
    <t>2026-03-19</t>
  </si>
  <si>
    <t>ORD10246</t>
  </si>
  <si>
    <t>2026-01-20</t>
  </si>
  <si>
    <t>ORD10247</t>
  </si>
  <si>
    <t>ORD10248</t>
  </si>
  <si>
    <t>ORD10249</t>
  </si>
  <si>
    <t>ORD10250</t>
  </si>
  <si>
    <t>2026-07-28</t>
  </si>
  <si>
    <t>ORD10251</t>
  </si>
  <si>
    <t>2026-01-22</t>
  </si>
  <si>
    <t>ORD10252</t>
  </si>
  <si>
    <t>ORD10253</t>
  </si>
  <si>
    <t>2026-06-20</t>
  </si>
  <si>
    <t>ORD10254</t>
  </si>
  <si>
    <t>2026-05-02</t>
  </si>
  <si>
    <t>ORD10255</t>
  </si>
  <si>
    <t>ORD10256</t>
  </si>
  <si>
    <t>ORD10257</t>
  </si>
  <si>
    <t>ORD10258</t>
  </si>
  <si>
    <t>ORD10259</t>
  </si>
  <si>
    <t>ORD10260</t>
  </si>
  <si>
    <t>ORD10261</t>
  </si>
  <si>
    <t>2026-01-13</t>
  </si>
  <si>
    <t>ORD10262</t>
  </si>
  <si>
    <t>ORD10263</t>
  </si>
  <si>
    <t>2026-06-25</t>
  </si>
  <si>
    <t>ORD10264</t>
  </si>
  <si>
    <t>ORD10265</t>
  </si>
  <si>
    <t>ORD10266</t>
  </si>
  <si>
    <t>ORD10267</t>
  </si>
  <si>
    <t>ORD10268</t>
  </si>
  <si>
    <t>ORD10269</t>
  </si>
  <si>
    <t>ORD10270</t>
  </si>
  <si>
    <t>ORD10271</t>
  </si>
  <si>
    <t>ORD10272</t>
  </si>
  <si>
    <t>2026-07-07</t>
  </si>
  <si>
    <t>ORD10273</t>
  </si>
  <si>
    <t>ORD10274</t>
  </si>
  <si>
    <t>ORD10275</t>
  </si>
  <si>
    <t>ORD10276</t>
  </si>
  <si>
    <t>2026-04-08</t>
  </si>
  <si>
    <t>ORD10277</t>
  </si>
  <si>
    <t>2026-03-09</t>
  </si>
  <si>
    <t>ORD10278</t>
  </si>
  <si>
    <t>2026-03-23</t>
  </si>
  <si>
    <t>ORD10279</t>
  </si>
  <si>
    <t>ORD10280</t>
  </si>
  <si>
    <t>2026-05-18</t>
  </si>
  <si>
    <t>ORD10281</t>
  </si>
  <si>
    <t>2026-05-23</t>
  </si>
  <si>
    <t>ORD10282</t>
  </si>
  <si>
    <t>ORD10283</t>
  </si>
  <si>
    <t>ORD10284</t>
  </si>
  <si>
    <t>ORD10285</t>
  </si>
  <si>
    <t>ORD10286</t>
  </si>
  <si>
    <t>ORD10287</t>
  </si>
  <si>
    <t>ORD10288</t>
  </si>
  <si>
    <t>ORD10289</t>
  </si>
  <si>
    <t>ORD10290</t>
  </si>
  <si>
    <t>ORD10291</t>
  </si>
  <si>
    <t>2026-07-22</t>
  </si>
  <si>
    <t>ORD10292</t>
  </si>
  <si>
    <t>ORD10293</t>
  </si>
  <si>
    <t>ORD10294</t>
  </si>
  <si>
    <t>ORD10295</t>
  </si>
  <si>
    <t>ORD10296</t>
  </si>
  <si>
    <t>ORD10297</t>
  </si>
  <si>
    <t>Customer 77</t>
  </si>
  <si>
    <t>ORD10298</t>
  </si>
  <si>
    <t>ORD10299</t>
  </si>
  <si>
    <t>2026-07-04</t>
  </si>
  <si>
    <t>ORD10300</t>
  </si>
  <si>
    <t>ORD10301</t>
  </si>
  <si>
    <t>ORD10302</t>
  </si>
  <si>
    <t>ORD10303</t>
  </si>
  <si>
    <t>ORD10304</t>
  </si>
  <si>
    <t>ORD10305</t>
  </si>
  <si>
    <t>2026-05-05</t>
  </si>
  <si>
    <t>ORD10306</t>
  </si>
  <si>
    <t>2026-05-27</t>
  </si>
  <si>
    <t>ORD10307</t>
  </si>
  <si>
    <t>ORD10308</t>
  </si>
  <si>
    <t>ORD10309</t>
  </si>
  <si>
    <t>ORD10310</t>
  </si>
  <si>
    <t>ORD10311</t>
  </si>
  <si>
    <t>ORD10312</t>
  </si>
  <si>
    <t>ORD10313</t>
  </si>
  <si>
    <t>ORD10314</t>
  </si>
  <si>
    <t>ORD10315</t>
  </si>
  <si>
    <t>2026-01-05</t>
  </si>
  <si>
    <t>ORD10316</t>
  </si>
  <si>
    <t>ORD10317</t>
  </si>
  <si>
    <t>ORD10318</t>
  </si>
  <si>
    <t>2026-02-21</t>
  </si>
  <si>
    <t>ORD10319</t>
  </si>
  <si>
    <t>ORD10320</t>
  </si>
  <si>
    <t>ORD10321</t>
  </si>
  <si>
    <t>ORD10322</t>
  </si>
  <si>
    <t>ORD10323</t>
  </si>
  <si>
    <t>2026-02-27</t>
  </si>
  <si>
    <t>ORD10324</t>
  </si>
  <si>
    <t>ORD10325</t>
  </si>
  <si>
    <t>2026-02-09</t>
  </si>
  <si>
    <t>ORD10326</t>
  </si>
  <si>
    <t>ORD10327</t>
  </si>
  <si>
    <t>ORD10328</t>
  </si>
  <si>
    <t>ORD10329</t>
  </si>
  <si>
    <t>ORD10330</t>
  </si>
  <si>
    <t>ORD10331</t>
  </si>
  <si>
    <t>ORD10332</t>
  </si>
  <si>
    <t>ORD10333</t>
  </si>
  <si>
    <t>ORD10334</t>
  </si>
  <si>
    <t>ORD10335</t>
  </si>
  <si>
    <t>ORD10336</t>
  </si>
  <si>
    <t>ORD10337</t>
  </si>
  <si>
    <t>ORD10338</t>
  </si>
  <si>
    <t>ORD10339</t>
  </si>
  <si>
    <t>2026-02-10</t>
  </si>
  <si>
    <t>ORD10340</t>
  </si>
  <si>
    <t>ORD10341</t>
  </si>
  <si>
    <t>ORD10342</t>
  </si>
  <si>
    <t>ORD10343</t>
  </si>
  <si>
    <t>ORD10344</t>
  </si>
  <si>
    <t>ORD10345</t>
  </si>
  <si>
    <t>ORD10346</t>
  </si>
  <si>
    <t>ORD10347</t>
  </si>
  <si>
    <t>2026-07-09</t>
  </si>
  <si>
    <t>ORD10348</t>
  </si>
  <si>
    <t>ORD10349</t>
  </si>
  <si>
    <t>2026-06-26</t>
  </si>
  <si>
    <t>ORD10350</t>
  </si>
  <si>
    <t>ORD10351</t>
  </si>
  <si>
    <t>ORD10352</t>
  </si>
  <si>
    <t>ORD10353</t>
  </si>
  <si>
    <t>ORD10354</t>
  </si>
  <si>
    <t>ORD10355</t>
  </si>
  <si>
    <t>ORD10356</t>
  </si>
  <si>
    <t>ORD10357</t>
  </si>
  <si>
    <t>ORD10358</t>
  </si>
  <si>
    <t>2026-01-14</t>
  </si>
  <si>
    <t>ORD10359</t>
  </si>
  <si>
    <t>ORD10360</t>
  </si>
  <si>
    <t>ORD10361</t>
  </si>
  <si>
    <t>ORD10362</t>
  </si>
  <si>
    <t>ORD10363</t>
  </si>
  <si>
    <t>2026-03-30</t>
  </si>
  <si>
    <t>ORD10364</t>
  </si>
  <si>
    <t>ORD10365</t>
  </si>
  <si>
    <t>2026-04-06</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</si>
  <si>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</si>
  <si>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</si>
  <si>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</si>
  <si>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</si>
  <si>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</si>
  <si>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</si>
  <si>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</si>
  <si>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</si>
  <si>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</si>
  <si>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</si>
  <si>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</si>
  <si>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</si>
  <si>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</si>
  <si>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</si>
  <si>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</si>
  <si>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</si>
  <si>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</si>
  <si>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2026-03-05</t>
  </si>
  <si>
    <t>ORD10383</t>
  </si>
  <si>
    <t>ORD10384</t>
  </si>
  <si>
    <t>ORD10385</t>
  </si>
  <si>
    <t>ORD10386</t>
  </si>
  <si>
    <t>ORD10387</t>
  </si>
  <si>
    <t>ORD10388</t>
  </si>
  <si>
    <t>ORD10389</t>
  </si>
  <si>
    <t>ORD10390</t>
  </si>
  <si>
    <t>2026-07-10</t>
  </si>
  <si>
    <t>ORD10391</t>
  </si>
  <si>
    <t>2026-06-04</t>
  </si>
  <si>
    <t>ORD10392</t>
  </si>
  <si>
    <t>ORD10393</t>
  </si>
  <si>
    <t>ORD10394</t>
  </si>
  <si>
    <t>ORD10395</t>
  </si>
  <si>
    <t>ORD10396</t>
  </si>
  <si>
    <t>ORD10397</t>
  </si>
  <si>
    <t>ORD10398</t>
  </si>
  <si>
    <t>ORD10399</t>
  </si>
  <si>
    <t>ORD10400</t>
  </si>
  <si>
    <t>ORD10401</t>
  </si>
  <si>
    <t>2026-05-17</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</si>
  <si>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</si>
  <si>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</si>
  <si>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</si>
  <si>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</si>
  <si>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</si>
  <si>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</si>
  <si>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</si>
  <si>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</si>
  <si>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</si>
  <si>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</si>
  <si>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</si>
  <si>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</si>
  <si>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</si>
  <si>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</si>
  <si>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</si>
  <si>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</si>
  <si>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</si>
  <si>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</si>
  <si>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</si>
  <si>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</si>
  <si>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</si>
  <si>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</si>
  <si>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</si>
  <si>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</si>
  <si>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</si>
  <si>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</si>
  <si>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</si>
  <si>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</si>
  <si>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2026-05-11</t>
  </si>
  <si>
    <t>ORD10430</t>
  </si>
  <si>
    <t>ORD10431</t>
  </si>
  <si>
    <t>ORD10432</t>
  </si>
  <si>
    <t>ORD10433</t>
  </si>
  <si>
    <t>ORD10434</t>
  </si>
  <si>
    <t>ORD10435</t>
  </si>
  <si>
    <t>ORD10436</t>
  </si>
  <si>
    <t>2026-01-06</t>
  </si>
  <si>
    <t>ORD10437</t>
  </si>
  <si>
    <t>ORD10438</t>
  </si>
  <si>
    <t>ORD10439</t>
  </si>
  <si>
    <t>ORD10440</t>
  </si>
  <si>
    <t>ORD10441</t>
  </si>
  <si>
    <t>ORD10442</t>
  </si>
  <si>
    <t>ORD10443</t>
  </si>
  <si>
    <t>ORD10444</t>
  </si>
  <si>
    <t>ORD10445</t>
  </si>
  <si>
    <t>ORD10446</t>
  </si>
  <si>
    <t>2026-05-03</t>
  </si>
  <si>
    <t>ORD10447</t>
  </si>
  <si>
    <t>ORD10448</t>
  </si>
  <si>
    <t>ORD10449</t>
  </si>
  <si>
    <t>ORD10450</t>
  </si>
  <si>
    <t>2026-07-20</t>
  </si>
  <si>
    <t>ORD10451</t>
  </si>
  <si>
    <t>ORD10452</t>
  </si>
  <si>
    <t>ORD10453</t>
  </si>
  <si>
    <t>ORD10454</t>
  </si>
  <si>
    <t>ORD10455</t>
  </si>
  <si>
    <t>ORD10456</t>
  </si>
  <si>
    <t>ORD10457</t>
  </si>
  <si>
    <t>2026-07-24</t>
  </si>
  <si>
    <t>ORD10458</t>
  </si>
  <si>
    <t>ORD10459</t>
  </si>
  <si>
    <t>ORD10460</t>
  </si>
  <si>
    <t>2026-06-05</t>
  </si>
  <si>
    <t>ORD10461</t>
  </si>
  <si>
    <t>ORD10462</t>
  </si>
  <si>
    <t>ORD10463</t>
  </si>
  <si>
    <t>ORD10464</t>
  </si>
  <si>
    <t>ORD10465</t>
  </si>
  <si>
    <t>ORD10466</t>
  </si>
  <si>
    <t>ORD10467</t>
  </si>
  <si>
    <t>ORD10468</t>
  </si>
  <si>
    <t>ORD10469</t>
  </si>
  <si>
    <t>ORD10470</t>
  </si>
  <si>
    <t>ORD10471</t>
  </si>
  <si>
    <t>2026-03-01</t>
  </si>
  <si>
    <t>ORD10472</t>
  </si>
  <si>
    <t>ORD10473</t>
  </si>
  <si>
    <t>ORD10474</t>
  </si>
  <si>
    <t>ORD10475</t>
  </si>
  <si>
    <t>ORD10476</t>
  </si>
  <si>
    <t>ORD10477</t>
  </si>
  <si>
    <t>2026-01-01</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</si>
  <si>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</si>
  <si>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</si>
  <si>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</si>
  <si>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</si>
  <si>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</si>
  <si>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</si>
  <si>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</si>
  <si>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</si>
  <si>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</si>
  <si>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</si>
  <si>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</si>
  <si>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</si>
  <si>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</si>
  <si>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</si>
  <si>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</si>
  <si>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</si>
  <si>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</si>
  <si>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</si>
  <si>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</si>
  <si>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</si>
  <si>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</si>
  <si>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</si>
  <si>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</si>
  <si>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Total Sale</t>
  </si>
  <si>
    <t>Total Sales</t>
  </si>
  <si>
    <t>Total Orders</t>
  </si>
  <si>
    <t>Average Sales</t>
  </si>
  <si>
    <t>Total Quantity sold</t>
  </si>
  <si>
    <t>Sum of Total Sale</t>
  </si>
  <si>
    <t>Grand Total</t>
  </si>
  <si>
    <t>Total Sale by Region</t>
  </si>
  <si>
    <t xml:space="preserve">Total Sale by Product Category </t>
  </si>
  <si>
    <t>Jan</t>
  </si>
  <si>
    <t>Feb</t>
  </si>
  <si>
    <t>Mar</t>
  </si>
  <si>
    <t>Apr</t>
  </si>
  <si>
    <t>May</t>
  </si>
  <si>
    <t>Jun</t>
  </si>
  <si>
    <t>Jul</t>
  </si>
  <si>
    <t>Total Sale by Monthly Trend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</si>
</sst>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s>
  <cellStyleXfs count="1">
    <xf numFmtId="0" fontId="0" fillId="0" borderId="0"/>
  </cellStyleXfs>
  <cellXfs count="13">
    <xf numFmtId="0" fontId="0" fillId="0" borderId="0" xfId="0"/>
    <xf numFmtId="0" fontId="0" fillId="4" borderId="1" xfId="0" applyFont="1" applyFill="1" applyBorder="1"/>
    <xf numFmtId="0" fontId="0" fillId="3" borderId="2" xfId="0" applyFont="1" applyFill="1" applyBorder="1"/>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1" fillId="2" borderId="0" xfId="0" applyFont="1" applyFill="1" applyBorder="1"/>
    <xf numFmtId="0" fontId="1" fillId="2" borderId="3" xfId="0" applyFont="1" applyFill="1" applyBorder="1"/>
    <xf numFmtId="0" fontId="0" fillId="3" borderId="4" xfId="0" applyFont="1" applyFill="1" applyBorder="1"/>
    <xf numFmtId="0" fontId="0" fillId="3" borderId="5" xfId="0" applyFont="1" applyFill="1" applyBorder="1"/>
    <xf numFmtId="0" fontId="0" fillId="4" borderId="2" xfId="0" applyFont="1" applyFill="1" applyBorder="1"/>
    <xf numFmtId="0" fontId="0" fillId="3" borderId="1" xfId="0" applyFont="1" applyFill="1" applyBorder="1"/>
  </cellXfs>
  <cellStyles count="1">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(Michael).xlsx]Dashboard!PivotTable2</c:name>
    <c:fmtId val="1"/>
  </c:pivotSource>
  <c:chart>
    <c:title>
      <c:tx>
        <c:rich>
          <a:bodyPr/>
          <a:lstStyle/>
          <a:p>
            <a:pPr>
              <a:defRPr/>
            </a:pPr>
            <a:r>
              <a:rPr lang="en-US"/>
              <a:t>Total Sale by Region</a:t>
            </a:r>
          </a:p>
        </c:rich>
      </c:tx>
      <c:layout/>
      <c:overlay val="0"/>
    </c:title>
    <c:autoTitleDeleted val="0"/>
    <c:pivotFmts>
      <c:pivotFmt>
        <c:idx val="0"/>
        <c:marker>
          <c:symbol val="none"/>
        </c:marker>
      </c:pivotFmt>
    </c:pivotFmts>
    <c:plotArea>
      <c:layout/>
      <c:barChart>
        <c:barDir val="col"/>
        <c:grouping val="clustered"/>
        <c:varyColors val="0"/>
        <c:ser>
          <c:idx val="0"/>
          <c:order val="0"/>
          <c:tx>
            <c:strRef>
              <c:f>Dashboard!$B$3</c:f>
              <c:strCache>
                <c:ptCount val="1"/>
                <c:pt idx="0">
                  <c:v>Total</c:v>
                </c:pt>
              </c:strCache>
            </c:strRef>
          </c:tx>
          <c:invertIfNegative val="0"/>
          <c:cat>
            <c:strRef>
              <c:f>Dashboard!$A$4:$A$8</c:f>
              <c:strCache>
                <c:ptCount val="4"/>
                <c:pt idx="0">
                  <c:v>East</c:v>
                </c:pt>
                <c:pt idx="1">
                  <c:v>North</c:v>
                </c:pt>
                <c:pt idx="2">
                  <c:v>South</c:v>
                </c:pt>
                <c:pt idx="3">
                  <c:v>West</c:v>
                </c:pt>
              </c:strCache>
            </c:strRef>
          </c:cat>
          <c:val>
            <c:numRef>
              <c:f>Dashboard!$B$4:$B$8</c:f>
              <c:numCache>
                <c:formatCode>General</c:formatCode>
                <c:ptCount val="4"/>
                <c:pt idx="0">
                  <c:v>431839.11150000006</c:v>
                </c:pt>
                <c:pt idx="1">
                  <c:v>444823.18549999996</c:v>
                </c:pt>
                <c:pt idx="2">
                  <c:v>311705.80650000018</c:v>
                </c:pt>
                <c:pt idx="3">
                  <c:v>405699.54550000007</c:v>
                </c:pt>
              </c:numCache>
            </c:numRef>
          </c:val>
        </c:ser>
        <c:dLbls>
          <c:showLegendKey val="0"/>
          <c:showVal val="0"/>
          <c:showCatName val="0"/>
          <c:showSerName val="0"/>
          <c:showPercent val="0"/>
          <c:showBubbleSize val="0"/>
        </c:dLbls>
        <c:gapWidth val="150"/>
        <c:axId val="219387392"/>
        <c:axId val="219388928"/>
      </c:barChart>
      <c:catAx>
        <c:axId val="219387392"/>
        <c:scaling>
          <c:orientation val="minMax"/>
        </c:scaling>
        <c:delete val="0"/>
        <c:axPos val="b"/>
        <c:majorTickMark val="out"/>
        <c:minorTickMark val="none"/>
        <c:tickLblPos val="nextTo"/>
        <c:crossAx val="219388928"/>
        <c:crosses val="autoZero"/>
        <c:auto val="1"/>
        <c:lblAlgn val="ctr"/>
        <c:lblOffset val="100"/>
        <c:noMultiLvlLbl val="0"/>
      </c:catAx>
      <c:valAx>
        <c:axId val="219388928"/>
        <c:scaling>
          <c:orientation val="minMax"/>
        </c:scaling>
        <c:delete val="0"/>
        <c:axPos val="l"/>
        <c:majorGridlines/>
        <c:numFmt formatCode="General" sourceLinked="1"/>
        <c:majorTickMark val="out"/>
        <c:minorTickMark val="none"/>
        <c:tickLblPos val="nextTo"/>
        <c:crossAx val="2193873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(Michael).xlsx]Dashboard!PivotTable3</c:name>
    <c:fmtId val="0"/>
  </c:pivotSource>
  <c:chart>
    <c:title>
      <c:tx>
        <c:rich>
          <a:bodyPr/>
          <a:lstStyle/>
          <a:p>
            <a:pPr>
              <a:defRPr/>
            </a:pPr>
            <a:r>
              <a:rPr lang="en-US"/>
              <a:t>Total Sale by Product</a:t>
            </a:r>
            <a:r>
              <a:rPr lang="en-US" baseline="0"/>
              <a:t> Category</a:t>
            </a:r>
          </a:p>
        </c:rich>
      </c:tx>
      <c:layout/>
      <c:overlay val="0"/>
    </c:title>
    <c:autoTitleDeleted val="0"/>
    <c:pivotFmts>
      <c:pivotFmt>
        <c:idx val="0"/>
        <c:marker>
          <c:symbol val="none"/>
        </c:marker>
      </c:pivotFmt>
    </c:pivotFmts>
    <c:plotArea>
      <c:layout/>
      <c:pieChart>
        <c:varyColors val="1"/>
        <c:ser>
          <c:idx val="0"/>
          <c:order val="0"/>
          <c:tx>
            <c:strRef>
              <c:f>Dashboard!$B$15</c:f>
              <c:strCache>
                <c:ptCount val="1"/>
                <c:pt idx="0">
                  <c:v>Total</c:v>
                </c:pt>
              </c:strCache>
            </c:strRef>
          </c:tx>
          <c:cat>
            <c:strRef>
              <c:f>Dashboard!$A$16:$A$20</c:f>
              <c:strCache>
                <c:ptCount val="4"/>
                <c:pt idx="0">
                  <c:v>Accessories</c:v>
                </c:pt>
                <c:pt idx="1">
                  <c:v>Electronics</c:v>
                </c:pt>
                <c:pt idx="2">
                  <c:v>Furniture</c:v>
                </c:pt>
                <c:pt idx="3">
                  <c:v>Office Supplies</c:v>
                </c:pt>
              </c:strCache>
            </c:strRef>
          </c:cat>
          <c:val>
            <c:numRef>
              <c:f>Dashboard!$B$16:$B$20</c:f>
              <c:numCache>
                <c:formatCode>General</c:formatCode>
                <c:ptCount val="4"/>
                <c:pt idx="0">
                  <c:v>432251.52</c:v>
                </c:pt>
                <c:pt idx="1">
                  <c:v>352857.68900000013</c:v>
                </c:pt>
                <c:pt idx="2">
                  <c:v>442422.87700000004</c:v>
                </c:pt>
                <c:pt idx="3">
                  <c:v>366535.56300000002</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(Michael).xlsx]Dashboard!PivotTable4</c:name>
    <c:fmtId val="0"/>
  </c:pivotSource>
  <c:chart>
    <c:title>
      <c:tx>
        <c:rich>
          <a:bodyPr/>
          <a:lstStyle/>
          <a:p>
            <a:pPr>
              <a:defRPr/>
            </a:pPr>
            <a:r>
              <a:rPr lang="en-US"/>
              <a:t>Total Sale</a:t>
            </a:r>
            <a:r>
              <a:rPr lang="en-US" baseline="0"/>
              <a:t> by Monthly Trend</a:t>
            </a:r>
            <a:endParaRPr lang="en-US"/>
          </a:p>
        </c:rich>
      </c:tx>
      <c:layout/>
      <c:overlay val="0"/>
    </c:title>
    <c:autoTitleDeleted val="0"/>
    <c:pivotFmts>
      <c:pivotFmt>
        <c:idx val="0"/>
        <c:marker>
          <c:symbol val="none"/>
        </c:marker>
      </c:pivotFmt>
    </c:pivotFmts>
    <c:plotArea>
      <c:layout/>
      <c:barChart>
        <c:barDir val="bar"/>
        <c:grouping val="clustered"/>
        <c:varyColors val="0"/>
        <c:ser>
          <c:idx val="0"/>
          <c:order val="0"/>
          <c:tx>
            <c:strRef>
              <c:f>Dashboard!$B$26</c:f>
              <c:strCache>
                <c:ptCount val="1"/>
                <c:pt idx="0">
                  <c:v>Total</c:v>
                </c:pt>
              </c:strCache>
            </c:strRef>
          </c:tx>
          <c:invertIfNegative val="0"/>
          <c:cat>
            <c:strRef>
              <c:f>Dashboard!$A$27:$A$34</c:f>
              <c:strCache>
                <c:ptCount val="7"/>
                <c:pt idx="0">
                  <c:v>Jan</c:v>
                </c:pt>
                <c:pt idx="1">
                  <c:v>Feb</c:v>
                </c:pt>
                <c:pt idx="2">
                  <c:v>Mar</c:v>
                </c:pt>
                <c:pt idx="3">
                  <c:v>Apr</c:v>
                </c:pt>
                <c:pt idx="4">
                  <c:v>May</c:v>
                </c:pt>
                <c:pt idx="5">
                  <c:v>Jun</c:v>
                </c:pt>
                <c:pt idx="6">
                  <c:v>Jul</c:v>
                </c:pt>
              </c:strCache>
            </c:strRef>
          </c:cat>
          <c:val>
            <c:numRef>
              <c:f>Dashboard!$B$27:$B$34</c:f>
              <c:numCache>
                <c:formatCode>General</c:formatCode>
                <c:ptCount val="7"/>
                <c:pt idx="0">
                  <c:v>269342.5955</c:v>
                </c:pt>
                <c:pt idx="1">
                  <c:v>247334.80649999995</c:v>
                </c:pt>
                <c:pt idx="2">
                  <c:v>222517.61700000003</c:v>
                </c:pt>
                <c:pt idx="3">
                  <c:v>233046.86250000005</c:v>
                </c:pt>
                <c:pt idx="4">
                  <c:v>179979.3425</c:v>
                </c:pt>
                <c:pt idx="5">
                  <c:v>228645.28649999996</c:v>
                </c:pt>
                <c:pt idx="6">
                  <c:v>213201.1385</c:v>
                </c:pt>
              </c:numCache>
            </c:numRef>
          </c:val>
        </c:ser>
        <c:dLbls>
          <c:showLegendKey val="0"/>
          <c:showVal val="0"/>
          <c:showCatName val="0"/>
          <c:showSerName val="0"/>
          <c:showPercent val="0"/>
          <c:showBubbleSize val="0"/>
        </c:dLbls>
        <c:gapWidth val="150"/>
        <c:axId val="268616832"/>
        <c:axId val="268742656"/>
      </c:barChart>
      <c:catAx>
        <c:axId val="268616832"/>
        <c:scaling>
          <c:orientation val="minMax"/>
        </c:scaling>
        <c:delete val="0"/>
        <c:axPos val="l"/>
        <c:majorTickMark val="out"/>
        <c:minorTickMark val="none"/>
        <c:tickLblPos val="nextTo"/>
        <c:crossAx val="268742656"/>
        <c:crosses val="autoZero"/>
        <c:auto val="1"/>
        <c:lblAlgn val="ctr"/>
        <c:lblOffset val="100"/>
        <c:noMultiLvlLbl val="0"/>
      </c:catAx>
      <c:valAx>
        <c:axId val="268742656"/>
        <c:scaling>
          <c:orientation val="minMax"/>
        </c:scaling>
        <c:delete val="0"/>
        <c:axPos val="b"/>
        <c:majorGridlines/>
        <c:numFmt formatCode="General" sourceLinked="1"/>
        <c:majorTickMark val="out"/>
        <c:minorTickMark val="none"/>
        <c:tickLblPos val="nextTo"/>
        <c:crossAx val="2686168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228600</xdr:colOff>
      <xdr:row>0</xdr:row>
      <xdr:rowOff>76200</xdr:rowOff>
    </xdr:from>
    <xdr:to>
      <xdr:col>8</xdr:col>
      <xdr:colOff>552450</xdr:colOff>
      <xdr:row>11</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209550</xdr:colOff>
      <xdr:row>12</xdr:row>
      <xdr:rowOff>9525</xdr:rowOff>
    </xdr:from>
    <xdr:to>
      <xdr:col>8</xdr:col>
      <xdr:colOff>466725</xdr:colOff>
      <xdr:row>23</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142876</xdr:colOff>
      <xdr:row>25</xdr:row>
      <xdr:rowOff>133351</xdr:rowOff>
    </xdr:from>
    <xdr:to>
      <xdr:col>8</xdr:col>
      <xdr:colOff>600076</xdr:colOff>
      <xdr:row>37</xdr:row>
      <xdr:rowOff>152401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133350</xdr:colOff>
      <xdr:row>26</xdr:row>
      <xdr:rowOff>95249</xdr:rowOff>
    </xdr:from>
    <xdr:to>
      <xdr:col>12</xdr:col>
      <xdr:colOff>28575</xdr:colOff>
      <xdr:row>37</xdr:row>
      <xdr:rowOff>74082</xdr:rowOff>
    </xdr:to>
    <mc:AlternateContent xmlns:mc="http://schemas.openxmlformats.org/markup-compatibility/2006">
      <mc:Choice xmlns:a14="http://schemas.microsoft.com/office/drawing/2010/main" Requires="a14">
        <xdr:graphicFrame macro="">
          <xdr:nvGraphicFramePr>
            <xdr:cNvPr id="6"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7594600" y="5048249"/>
              <a:ext cx="1736725" cy="207433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179916</xdr:colOff>
      <xdr:row>1</xdr:row>
      <xdr:rowOff>63500</xdr:rowOff>
    </xdr:from>
    <xdr:to>
      <xdr:col>11</xdr:col>
      <xdr:colOff>484715</xdr:colOff>
      <xdr:row>11</xdr:row>
      <xdr:rowOff>165100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41166" y="254000"/>
              <a:ext cx="1532466" cy="20066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591608</xdr:colOff>
      <xdr:row>13</xdr:row>
      <xdr:rowOff>63501</xdr:rowOff>
    </xdr:from>
    <xdr:to>
      <xdr:col>11</xdr:col>
      <xdr:colOff>591608</xdr:colOff>
      <xdr:row>23</xdr:row>
      <xdr:rowOff>179917</xdr:rowOff>
    </xdr:to>
    <mc:AlternateContent xmlns:mc="http://schemas.openxmlformats.org/markup-compatibility/2006">
      <mc:Choice xmlns:a14="http://schemas.microsoft.com/office/drawing/2010/main" Requires="a14">
        <xdr:graphicFrame macro="">
          <xdr:nvGraphicFramePr>
            <xdr:cNvPr id="8"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439025" y="2540001"/>
              <a:ext cx="1841500" cy="202141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49.505551620372" createdVersion="4" refreshedVersion="4" minRefreshableVersion="3" recordCount="500">
  <cacheSource type="worksheet">
    <worksheetSource name="SalesTable"/>
  </cacheSource>
  <cacheFields count="11">
    <cacheField name="Order Date" numFmtId="14">
      <sharedItems containsSemiMixedTypes="0" containsNonDate="0" containsDate="1" containsString="0" minDate="2026-01-01T00:00:00" maxDate="2026-07-31T00:00:00" count="184">
        <d v="2026-07-19T00:00:00"/>
        <d v="2026-02-26T00:00:00"/>
        <d v="2026-03-21T00:00:00"/>
        <d v="2026-03-31T00:00:00"/>
        <d v="2026-03-18T00:00:00"/>
        <d v="2026-06-19T00:00:00"/>
        <d v="2026-03-07T00:00:00"/>
        <d v="2026-02-01T00:00:00"/>
        <d v="2026-04-07T00:00:00"/>
        <d v="2026-06-28T00:00:00"/>
        <d v="2026-07-18T00:00:00"/>
        <d v="2026-03-11T00:00:00"/>
        <d v="2026-04-16T00:00:00"/>
        <d v="2026-06-16T00:00:00"/>
        <d v="2026-02-20T00:00:00"/>
        <d v="2026-01-30T00:00:00"/>
        <d v="2026-07-17T00:00:00"/>
        <d v="2026-02-02T00:00:00"/>
        <d v="2026-01-25T00:00:00"/>
        <d v="2026-06-02T00:00:00"/>
        <d v="2026-05-09T00:00:00"/>
        <d v="2026-04-29T00:00:00"/>
        <d v="2026-01-28T00:00:00"/>
        <d v="2026-01-10T00:00:00"/>
        <d v="2026-06-27T00:00:00"/>
        <d v="2026-04-11T00:00:00"/>
        <d v="2026-03-24T00:00:00"/>
        <d v="2026-01-12T00:00:00"/>
        <d v="2026-02-07T00:00:00"/>
        <d v="2026-07-29T00:00:00"/>
        <d v="2026-06-18T00:00:00"/>
        <d v="2026-04-25T00:00:00"/>
        <d v="2026-07-16T00:00:00"/>
        <d v="2026-02-19T00:00:00"/>
        <d v="2026-03-06T00:00:00"/>
        <d v="2026-03-29T00:00:00"/>
        <d v="2026-05-14T00:00:00"/>
        <d v="2026-01-08T00:00:00"/>
        <d v="2026-04-30T00:00:00"/>
        <d v="2026-05-01T00:00:00"/>
        <d v="2026-02-25T00:00:00"/>
        <d v="2026-06-08T00:00:00"/>
        <d v="2026-01-16T00:00:00"/>
        <d v="2026-07-25T00:00:00"/>
        <d v="2026-04-02T00:00:00"/>
        <d v="2026-04-01T00:00:00"/>
        <d v="2026-01-09T00:00:00"/>
        <d v="2026-05-22T00:00:00"/>
        <d v="2026-02-16T00:00:00"/>
        <d v="2026-03-04T00:00:00"/>
        <d v="2026-01-31T00:00:00"/>
        <d v="2026-03-17T00:00:00"/>
        <d v="2026-04-26T00:00:00"/>
        <d v="2026-07-14T00:00:00"/>
        <d v="2026-04-21T00:00:00"/>
        <d v="2026-01-27T00:00:00"/>
        <d v="2026-06-10T00:00:00"/>
        <d v="2026-02-28T00:00:00"/>
        <d v="2026-06-15T00:00:00"/>
        <d v="2026-02-15T00:00:00"/>
        <d v="2026-03-02T00:00:00"/>
        <d v="2026-04-20T00:00:00"/>
        <d v="2026-06-21T00:00:00"/>
        <d v="2026-04-15T00:00:00"/>
        <d v="2026-07-21T00:00:00"/>
        <d v="2026-04-24T00:00:00"/>
        <d v="2026-01-29T00:00:00"/>
        <d v="2026-03-15T00:00:00"/>
        <d v="2026-04-28T00:00:00"/>
        <d v="2026-07-06T00:00:00"/>
        <d v="2026-06-29T00:00:00"/>
        <d v="2026-04-19T00:00:00"/>
        <d v="2026-02-04T00:00:00"/>
        <d v="2026-07-03T00:00:00"/>
        <d v="2026-06-23T00:00:00"/>
        <d v="2026-05-24T00:00:00"/>
        <d v="2026-05-28T00:00:00"/>
        <d v="2026-03-27T00:00:00"/>
        <d v="2026-06-11T00:00:00"/>
        <d v="2026-05-25T00:00:00"/>
        <d v="2026-07-30T00:00:00"/>
        <d v="2026-04-14T00:00:00"/>
        <d v="2026-06-22T00:00:00"/>
        <d v="2026-07-02T00:00:00"/>
        <d v="2026-02-22T00:00:00"/>
        <d v="2026-06-24T00:00:00"/>
        <d v="2026-04-09T00:00:00"/>
        <d v="2026-03-10T00:00:00"/>
        <d v="2026-05-20T00:00:00"/>
        <d v="2026-02-24T00:00:00"/>
        <d v="2026-07-15T00:00:00"/>
        <d v="2026-01-15T00:00:00"/>
        <d v="2026-01-26T00:00:00"/>
        <d v="2026-01-21T00:00:00"/>
        <d v="2026-01-17T00:00:00"/>
        <d v="2026-04-27T00:00:00"/>
        <d v="2026-05-29T00:00:00"/>
        <d v="2026-01-11T00:00:00"/>
        <d v="2026-05-07T00:00:00"/>
        <d v="2026-01-18T00:00:00"/>
        <d v="2026-07-05T00:00:00"/>
        <d v="2026-01-23T00:00:00"/>
        <d v="2026-03-13T00:00:00"/>
        <d v="2026-02-06T00:00:00"/>
        <d v="2026-04-18T00:00:00"/>
        <d v="2026-06-01T00:00:00"/>
        <d v="2026-06-14T00:00:00"/>
        <d v="2026-01-02T00:00:00"/>
        <d v="2026-05-19T00:00:00"/>
        <d v="2026-04-04T00:00:00"/>
        <d v="2026-06-09T00:00:00"/>
        <d v="2026-01-24T00:00:00"/>
        <d v="2026-07-26T00:00:00"/>
        <d v="2026-06-12T00:00:00"/>
        <d v="2026-06-13T00:00:00"/>
        <d v="2026-06-07T00:00:00"/>
        <d v="2026-05-30T00:00:00"/>
        <d v="2026-04-13T00:00:00"/>
        <d v="2026-05-04T00:00:00"/>
        <d v="2026-07-13T00:00:00"/>
        <d v="2026-02-13T00:00:00"/>
        <d v="2026-03-12T00:00:00"/>
        <d v="2026-04-12T00:00:00"/>
        <d v="2026-04-22T00:00:00"/>
        <d v="2026-05-21T00:00:00"/>
        <d v="2026-05-13T00:00:00"/>
        <d v="2026-05-06T00:00:00"/>
        <d v="2026-02-12T00:00:00"/>
        <d v="2026-05-31T00:00:00"/>
        <d v="2026-03-03T00:00:00"/>
        <d v="2026-02-23T00:00:00"/>
        <d v="2026-06-17T00:00:00"/>
        <d v="2026-07-08T00:00:00"/>
        <d v="2026-03-16T00:00:00"/>
        <d v="2026-04-03T00:00:00"/>
        <d v="2026-07-12T00:00:00"/>
        <d v="2026-04-23T00:00:00"/>
        <d v="2026-06-03T00:00:00"/>
        <d v="2026-05-08T00:00:00"/>
        <d v="2026-02-08T00:00:00"/>
        <d v="2026-03-25T00:00:00"/>
        <d v="2026-01-19T00:00:00"/>
        <d v="2026-02-18T00:00:00"/>
        <d v="2026-04-05T00:00:00"/>
        <d v="2026-03-19T00:00:00"/>
        <d v="2026-01-20T00:00:00"/>
        <d v="2026-07-28T00:00:00"/>
        <d v="2026-01-22T00:00:00"/>
        <d v="2026-06-20T00:00:00"/>
        <d v="2026-05-02T00:00:00"/>
        <d v="2026-01-13T00:00:00"/>
        <d v="2026-06-25T00:00:00"/>
        <d v="2026-07-07T00:00:00"/>
        <d v="2026-04-08T00:00:00"/>
        <d v="2026-03-09T00:00:00"/>
        <d v="2026-03-23T00:00:00"/>
        <d v="2026-05-18T00:00:00"/>
        <d v="2026-05-23T00:00:00"/>
        <d v="2026-07-22T00:00:00"/>
        <d v="2026-07-04T00:00:00"/>
        <d v="2026-05-05T00:00:00"/>
        <d v="2026-05-27T00:00:00"/>
        <d v="2026-01-05T00:00:00"/>
        <d v="2026-02-21T00:00:00"/>
        <d v="2026-02-27T00:00:00"/>
        <d v="2026-02-09T00:00:00"/>
        <d v="2026-02-10T00:00:00"/>
        <d v="2026-07-09T00:00:00"/>
        <d v="2026-06-26T00:00:00"/>
        <d v="2026-01-14T00:00:00"/>
        <d v="2026-03-30T00:00:00"/>
        <d v="2026-04-06T00:00:00"/>
        <d v="2026-03-05T00:00:00"/>
        <d v="2026-07-10T00:00:00"/>
        <d v="2026-06-04T00:00:00"/>
        <d v="2026-05-17T00:00:00"/>
        <d v="2026-05-11T00:00:00"/>
        <d v="2026-01-06T00:00:00"/>
        <d v="2026-05-03T00:00:00"/>
        <d v="2026-07-20T00:00:00"/>
        <d v="2026-07-24T00:00:00"/>
        <d v="2026-06-05T00:00:00"/>
        <d v="2026-03-01T00:00:00"/>
        <d v="2026-01-01T00:00:00"/>
      </sharedItems>
      <fieldGroup base="0">
        <rangePr groupBy="months" startDate="2026-01-01T00:00:00" endDate="2026-07-31T00:00:00"/>
        <groupItems count="14">
          <s v="&lt;1/1/2026"/>
          <s v="Jan"/>
          <s v="Feb"/>
          <s v="Mar"/>
          <s v="Apr"/>
          <s v="May"/>
          <s v="Jun"/>
          <s v="Jul"/>
          <s v="Aug"/>
          <s v="Sep"/>
          <s v="Oct"/>
          <s v="Nov"/>
          <s v="Dec"/>
          <s v="&gt;7/31/2026"/>
        </groupItems>
      </fieldGroup>
    </cacheField>
    <cacheField name="Order ID" numFmtId="0">
      <sharedItems/>
    </cacheField>
    <cacheField name="Customer Name" numFmtId="0">
      <sharedItems/>
    </cacheField>
    <cacheField name="Region" numFmtId="0">
      <sharedItems count="4">
        <s v="North"/>
        <s v="East"/>
        <s v="West"/>
        <s v="South"/>
      </sharedItems>
    </cacheField>
    <cacheField name="Product Category" numFmtId="0">
      <sharedItems count="4">
        <s v="Furniture"/>
        <s v="Accessories"/>
        <s v="Office Supplies"/>
        <s v="Electronics"/>
      </sharedItems>
    </cacheField>
    <cacheField name="Product"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12.82" maxValue="1199.42"/>
    </cacheField>
    <cacheField name="Discount (%)" numFmtId="0">
      <sharedItems containsSemiMixedTypes="0" containsString="0" containsNumber="1" containsInteger="1" minValue="0" maxValue="15"/>
    </cacheField>
    <cacheField name="Salesperson" numFmtId="0">
      <sharedItems/>
    </cacheField>
    <cacheField name="Total Sale" numFmtId="0">
      <sharedItems containsSemiMixedTypes="0" containsString="0" containsNumber="1" minValue="14.067" maxValue="11682.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x v="0"/>
    <s v="ORD10001"/>
    <s v="Customer 47"/>
    <x v="0"/>
    <x v="0"/>
    <s v="Desk"/>
    <n v="2"/>
    <n v="406.33"/>
    <n v="15"/>
    <s v="Fatima"/>
    <n v="690.76099999999997"/>
  </r>
  <r>
    <x v="1"/>
    <s v="ORD10002"/>
    <s v="Customer 40"/>
    <x v="1"/>
    <x v="0"/>
    <s v="Chair"/>
    <n v="2"/>
    <n v="223.08"/>
    <n v="5"/>
    <s v="Ben"/>
    <n v="423.85200000000003"/>
  </r>
  <r>
    <x v="2"/>
    <s v="ORD10003"/>
    <s v="Customer 67"/>
    <x v="2"/>
    <x v="1"/>
    <s v="Webcam"/>
    <n v="10"/>
    <n v="569.66999999999996"/>
    <n v="0"/>
    <s v="David"/>
    <n v="5696.7"/>
  </r>
  <r>
    <x v="3"/>
    <s v="ORD10004"/>
    <s v="Customer 14"/>
    <x v="0"/>
    <x v="2"/>
    <s v="Pen"/>
    <n v="1"/>
    <n v="1145.42"/>
    <n v="0"/>
    <s v="Fatima"/>
    <n v="1145.42"/>
  </r>
  <r>
    <x v="4"/>
    <s v="ORD10005"/>
    <s v="Customer 22"/>
    <x v="2"/>
    <x v="1"/>
    <s v="Webcam"/>
    <n v="8"/>
    <n v="683.28"/>
    <n v="5"/>
    <s v="Fatima"/>
    <n v="5192.9279999999999"/>
  </r>
  <r>
    <x v="5"/>
    <s v="ORD10006"/>
    <s v="Customer 73"/>
    <x v="3"/>
    <x v="1"/>
    <s v="Headset"/>
    <n v="8"/>
    <n v="1146"/>
    <n v="15"/>
    <s v="Ben"/>
    <n v="7792.8"/>
  </r>
  <r>
    <x v="6"/>
    <s v="ORD10007"/>
    <s v="Customer 48"/>
    <x v="3"/>
    <x v="2"/>
    <s v="Printer Paper"/>
    <n v="4"/>
    <n v="510.82"/>
    <n v="0"/>
    <s v="Chris"/>
    <n v="2043.28"/>
  </r>
  <r>
    <x v="7"/>
    <s v="ORD10008"/>
    <s v="Customer 27"/>
    <x v="3"/>
    <x v="1"/>
    <s v="USB Drive"/>
    <n v="10"/>
    <n v="671.35"/>
    <n v="10"/>
    <s v="Chris"/>
    <n v="6042.1500000000005"/>
  </r>
  <r>
    <x v="8"/>
    <s v="ORD10009"/>
    <s v="Customer 73"/>
    <x v="1"/>
    <x v="1"/>
    <s v="USB Drive"/>
    <n v="2"/>
    <n v="975.92"/>
    <n v="10"/>
    <s v="Fatima"/>
    <n v="1756.6559999999999"/>
  </r>
  <r>
    <x v="9"/>
    <s v="ORD10010"/>
    <s v="Customer 40"/>
    <x v="3"/>
    <x v="0"/>
    <s v="Desk"/>
    <n v="5"/>
    <n v="738.08"/>
    <n v="5"/>
    <s v="Fatima"/>
    <n v="3505.88"/>
  </r>
  <r>
    <x v="10"/>
    <s v="ORD10011"/>
    <s v="Customer 71"/>
    <x v="3"/>
    <x v="0"/>
    <s v="Chair"/>
    <n v="3"/>
    <n v="1100.57"/>
    <n v="5"/>
    <s v="Ben"/>
    <n v="3136.6244999999999"/>
  </r>
  <r>
    <x v="11"/>
    <s v="ORD10012"/>
    <s v="Customer 60"/>
    <x v="3"/>
    <x v="3"/>
    <s v="Laptop"/>
    <n v="5"/>
    <n v="652.66999999999996"/>
    <n v="10"/>
    <s v="Chris"/>
    <n v="2937.0149999999999"/>
  </r>
  <r>
    <x v="12"/>
    <s v="ORD10013"/>
    <s v="Customer 29"/>
    <x v="0"/>
    <x v="2"/>
    <s v="Pen"/>
    <n v="9"/>
    <n v="426.9"/>
    <n v="0"/>
    <s v="Chris"/>
    <n v="3842.1"/>
  </r>
  <r>
    <x v="13"/>
    <s v="ORD10014"/>
    <s v="Customer 72"/>
    <x v="0"/>
    <x v="1"/>
    <s v="USB Drive"/>
    <n v="4"/>
    <n v="325.31"/>
    <n v="15"/>
    <s v="Fatima"/>
    <n v="1106.0540000000001"/>
  </r>
  <r>
    <x v="14"/>
    <s v="ORD10015"/>
    <s v="Customer 16"/>
    <x v="1"/>
    <x v="3"/>
    <s v="Monitor"/>
    <n v="8"/>
    <n v="619.88"/>
    <n v="15"/>
    <s v="David"/>
    <n v="4215.1840000000002"/>
  </r>
  <r>
    <x v="1"/>
    <s v="ORD10016"/>
    <s v="Customer 1"/>
    <x v="3"/>
    <x v="0"/>
    <s v="Cabinet"/>
    <n v="5"/>
    <n v="812.2"/>
    <n v="15"/>
    <s v="Fatima"/>
    <n v="3451.85"/>
  </r>
  <r>
    <x v="15"/>
    <s v="ORD10017"/>
    <s v="Customer 29"/>
    <x v="2"/>
    <x v="3"/>
    <s v="Mouse"/>
    <n v="9"/>
    <n v="1053.95"/>
    <n v="0"/>
    <s v="Ben"/>
    <n v="9485.5500000000011"/>
  </r>
  <r>
    <x v="16"/>
    <s v="ORD10018"/>
    <s v="Customer 72"/>
    <x v="1"/>
    <x v="2"/>
    <s v="Notebook"/>
    <n v="9"/>
    <n v="661.64"/>
    <n v="0"/>
    <s v="Ben"/>
    <n v="5954.76"/>
  </r>
  <r>
    <x v="17"/>
    <s v="ORD10019"/>
    <s v="Customer 53"/>
    <x v="3"/>
    <x v="3"/>
    <s v="Monitor"/>
    <n v="5"/>
    <n v="513.52"/>
    <n v="0"/>
    <s v="Ben"/>
    <n v="2567.6"/>
  </r>
  <r>
    <x v="18"/>
    <s v="ORD10020"/>
    <s v="Customer 15"/>
    <x v="2"/>
    <x v="0"/>
    <s v="Chair"/>
    <n v="4"/>
    <n v="391.3"/>
    <n v="5"/>
    <s v="Fatima"/>
    <n v="1486.94"/>
  </r>
  <r>
    <x v="19"/>
    <s v="ORD10021"/>
    <s v="Customer 70"/>
    <x v="1"/>
    <x v="3"/>
    <s v="Keyboard"/>
    <n v="9"/>
    <n v="201.61"/>
    <n v="10"/>
    <s v="David"/>
    <n v="1633.0410000000002"/>
  </r>
  <r>
    <x v="20"/>
    <s v="ORD10022"/>
    <s v="Customer 47"/>
    <x v="3"/>
    <x v="1"/>
    <s v="Webcam"/>
    <n v="7"/>
    <n v="522.54"/>
    <n v="10"/>
    <s v="Ben"/>
    <n v="3292.002"/>
  </r>
  <r>
    <x v="21"/>
    <s v="ORD10023"/>
    <s v="Customer 55"/>
    <x v="0"/>
    <x v="0"/>
    <s v="Cabinet"/>
    <n v="8"/>
    <n v="155.5"/>
    <n v="5"/>
    <s v="Alice"/>
    <n v="1181.8"/>
  </r>
  <r>
    <x v="22"/>
    <s v="ORD10024"/>
    <s v="Customer 5"/>
    <x v="3"/>
    <x v="3"/>
    <s v="Monitor"/>
    <n v="6"/>
    <n v="484.42"/>
    <n v="0"/>
    <s v="David"/>
    <n v="2906.52"/>
  </r>
  <r>
    <x v="23"/>
    <s v="ORD10025"/>
    <s v="Customer 21"/>
    <x v="1"/>
    <x v="2"/>
    <s v="Printer Paper"/>
    <n v="7"/>
    <n v="300.05"/>
    <n v="10"/>
    <s v="David"/>
    <n v="1890.3150000000001"/>
  </r>
  <r>
    <x v="24"/>
    <s v="ORD10026"/>
    <s v="Customer 17"/>
    <x v="0"/>
    <x v="1"/>
    <s v="Webcam"/>
    <n v="6"/>
    <n v="824.26"/>
    <n v="15"/>
    <s v="Emma"/>
    <n v="4203.7259999999997"/>
  </r>
  <r>
    <x v="25"/>
    <s v="ORD10027"/>
    <s v="Customer 40"/>
    <x v="1"/>
    <x v="2"/>
    <s v="Pen"/>
    <n v="3"/>
    <n v="670.14"/>
    <n v="5"/>
    <s v="Chris"/>
    <n v="1909.8989999999999"/>
  </r>
  <r>
    <x v="19"/>
    <s v="ORD10028"/>
    <s v="Customer 6"/>
    <x v="0"/>
    <x v="2"/>
    <s v="Notebook"/>
    <n v="2"/>
    <n v="151.74"/>
    <n v="0"/>
    <s v="Chris"/>
    <n v="303.48"/>
  </r>
  <r>
    <x v="26"/>
    <s v="ORD10029"/>
    <s v="Customer 1"/>
    <x v="1"/>
    <x v="0"/>
    <s v="Cabinet"/>
    <n v="1"/>
    <n v="652.22"/>
    <n v="0"/>
    <s v="Emma"/>
    <n v="652.22"/>
  </r>
  <r>
    <x v="27"/>
    <s v="ORD10030"/>
    <s v="Customer 42"/>
    <x v="0"/>
    <x v="2"/>
    <s v="Printer Paper"/>
    <n v="2"/>
    <n v="951.04"/>
    <n v="0"/>
    <s v="Chris"/>
    <n v="1902.08"/>
  </r>
  <r>
    <x v="28"/>
    <s v="ORD10031"/>
    <s v="Customer 47"/>
    <x v="3"/>
    <x v="1"/>
    <s v="USB Drive"/>
    <n v="7"/>
    <n v="623.26"/>
    <n v="5"/>
    <s v="Chris"/>
    <n v="4144.6789999999992"/>
  </r>
  <r>
    <x v="29"/>
    <s v="ORD10032"/>
    <s v="Customer 60"/>
    <x v="2"/>
    <x v="2"/>
    <s v="Printer Paper"/>
    <n v="8"/>
    <n v="344.44"/>
    <n v="5"/>
    <s v="Chris"/>
    <n v="2617.7439999999997"/>
  </r>
  <r>
    <x v="30"/>
    <s v="ORD10033"/>
    <s v="Customer 38"/>
    <x v="0"/>
    <x v="0"/>
    <s v="Desk"/>
    <n v="9"/>
    <n v="1193.76"/>
    <n v="0"/>
    <s v="Alice"/>
    <n v="10743.84"/>
  </r>
  <r>
    <x v="31"/>
    <s v="ORD10034"/>
    <s v="Customer 60"/>
    <x v="2"/>
    <x v="0"/>
    <s v="Desk"/>
    <n v="5"/>
    <n v="242.87"/>
    <n v="15"/>
    <s v="Fatima"/>
    <n v="1032.1975"/>
  </r>
  <r>
    <x v="32"/>
    <s v="ORD10035"/>
    <s v="Customer 51"/>
    <x v="0"/>
    <x v="3"/>
    <s v="Monitor"/>
    <n v="8"/>
    <n v="417.13"/>
    <n v="15"/>
    <s v="David"/>
    <n v="2836.4839999999999"/>
  </r>
  <r>
    <x v="33"/>
    <s v="ORD10036"/>
    <s v="Customer 13"/>
    <x v="1"/>
    <x v="2"/>
    <s v="Printer Paper"/>
    <n v="10"/>
    <n v="34.159999999999997"/>
    <n v="15"/>
    <s v="Ben"/>
    <n v="290.35999999999996"/>
  </r>
  <r>
    <x v="34"/>
    <s v="ORD10037"/>
    <s v="Customer 28"/>
    <x v="1"/>
    <x v="3"/>
    <s v="Laptop"/>
    <n v="8"/>
    <n v="208.45"/>
    <n v="5"/>
    <s v="Alice"/>
    <n v="1584.2199999999998"/>
  </r>
  <r>
    <x v="35"/>
    <s v="ORD10038"/>
    <s v="Customer 27"/>
    <x v="2"/>
    <x v="3"/>
    <s v="Laptop"/>
    <n v="8"/>
    <n v="1118.33"/>
    <n v="0"/>
    <s v="Ben"/>
    <n v="8946.64"/>
  </r>
  <r>
    <x v="36"/>
    <s v="ORD10039"/>
    <s v="Customer 67"/>
    <x v="0"/>
    <x v="1"/>
    <s v="Headset"/>
    <n v="9"/>
    <n v="659.81"/>
    <n v="10"/>
    <s v="Emma"/>
    <n v="5344.4609999999993"/>
  </r>
  <r>
    <x v="37"/>
    <s v="ORD10040"/>
    <s v="Customer 34"/>
    <x v="3"/>
    <x v="0"/>
    <s v="Cabinet"/>
    <n v="3"/>
    <n v="782.19"/>
    <n v="0"/>
    <s v="David"/>
    <n v="2346.5700000000002"/>
  </r>
  <r>
    <x v="38"/>
    <s v="ORD10041"/>
    <s v="Customer 2"/>
    <x v="3"/>
    <x v="3"/>
    <s v="Laptop"/>
    <n v="3"/>
    <n v="463.24"/>
    <n v="0"/>
    <s v="Alice"/>
    <n v="1389.72"/>
  </r>
  <r>
    <x v="39"/>
    <s v="ORD10042"/>
    <s v="Customer 42"/>
    <x v="3"/>
    <x v="3"/>
    <s v="Laptop"/>
    <n v="4"/>
    <n v="251.67"/>
    <n v="15"/>
    <s v="Emma"/>
    <n v="855.67799999999988"/>
  </r>
  <r>
    <x v="40"/>
    <s v="ORD10043"/>
    <s v="Customer 45"/>
    <x v="3"/>
    <x v="0"/>
    <s v="Chair"/>
    <n v="10"/>
    <n v="160.44999999999999"/>
    <n v="10"/>
    <s v="Chris"/>
    <n v="1444.05"/>
  </r>
  <r>
    <x v="41"/>
    <s v="ORD10044"/>
    <s v="Customer 5"/>
    <x v="1"/>
    <x v="0"/>
    <s v="Chair"/>
    <n v="6"/>
    <n v="704.75"/>
    <n v="15"/>
    <s v="Ben"/>
    <n v="3594.2249999999999"/>
  </r>
  <r>
    <x v="42"/>
    <s v="ORD10045"/>
    <s v="Customer 36"/>
    <x v="0"/>
    <x v="0"/>
    <s v="Cabinet"/>
    <n v="7"/>
    <n v="924.92"/>
    <n v="10"/>
    <s v="David"/>
    <n v="5826.9960000000001"/>
  </r>
  <r>
    <x v="43"/>
    <s v="ORD10046"/>
    <s v="Customer 43"/>
    <x v="1"/>
    <x v="1"/>
    <s v="Webcam"/>
    <n v="8"/>
    <n v="504.11"/>
    <n v="0"/>
    <s v="Fatima"/>
    <n v="4032.88"/>
  </r>
  <r>
    <x v="44"/>
    <s v="ORD10047"/>
    <s v="Customer 22"/>
    <x v="3"/>
    <x v="3"/>
    <s v="Monitor"/>
    <n v="6"/>
    <n v="24.67"/>
    <n v="10"/>
    <s v="Emma"/>
    <n v="133.21800000000002"/>
  </r>
  <r>
    <x v="13"/>
    <s v="ORD10048"/>
    <s v="Customer 42"/>
    <x v="2"/>
    <x v="3"/>
    <s v="Laptop"/>
    <n v="2"/>
    <n v="399.93"/>
    <n v="10"/>
    <s v="Chris"/>
    <n v="719.87400000000002"/>
  </r>
  <r>
    <x v="45"/>
    <s v="ORD10049"/>
    <s v="Customer 40"/>
    <x v="3"/>
    <x v="0"/>
    <s v="Chair"/>
    <n v="2"/>
    <n v="98.62"/>
    <n v="0"/>
    <s v="Ben"/>
    <n v="197.24"/>
  </r>
  <r>
    <x v="46"/>
    <s v="ORD10050"/>
    <s v="Customer 1"/>
    <x v="0"/>
    <x v="2"/>
    <s v="Printer Paper"/>
    <n v="10"/>
    <n v="998.64"/>
    <n v="15"/>
    <s v="Chris"/>
    <n v="8488.4399999999987"/>
  </r>
  <r>
    <x v="47"/>
    <s v="ORD10051"/>
    <s v="Customer 44"/>
    <x v="2"/>
    <x v="1"/>
    <s v="Webcam"/>
    <n v="10"/>
    <n v="520.30999999999995"/>
    <n v="0"/>
    <s v="Fatima"/>
    <n v="5203.0999999999995"/>
  </r>
  <r>
    <x v="14"/>
    <s v="ORD10052"/>
    <s v="Customer 32"/>
    <x v="3"/>
    <x v="2"/>
    <s v="Pen"/>
    <n v="6"/>
    <n v="166.21"/>
    <n v="0"/>
    <s v="Alice"/>
    <n v="997.26"/>
  </r>
  <r>
    <x v="48"/>
    <s v="ORD10053"/>
    <s v="Customer 47"/>
    <x v="1"/>
    <x v="0"/>
    <s v="Desk"/>
    <n v="10"/>
    <n v="225.99"/>
    <n v="10"/>
    <s v="Alice"/>
    <n v="2033.91"/>
  </r>
  <r>
    <x v="49"/>
    <s v="ORD10054"/>
    <s v="Customer 46"/>
    <x v="0"/>
    <x v="2"/>
    <s v="Notebook"/>
    <n v="6"/>
    <n v="1097.42"/>
    <n v="0"/>
    <s v="Alice"/>
    <n v="6584.52"/>
  </r>
  <r>
    <x v="50"/>
    <s v="ORD10055"/>
    <s v="Customer 73"/>
    <x v="1"/>
    <x v="1"/>
    <s v="USB Drive"/>
    <n v="10"/>
    <n v="845.25"/>
    <n v="10"/>
    <s v="Ben"/>
    <n v="7607.25"/>
  </r>
  <r>
    <x v="51"/>
    <s v="ORD10056"/>
    <s v="Customer 47"/>
    <x v="0"/>
    <x v="1"/>
    <s v="Headset"/>
    <n v="3"/>
    <n v="1117.22"/>
    <n v="5"/>
    <s v="Fatima"/>
    <n v="3184.0769999999998"/>
  </r>
  <r>
    <x v="52"/>
    <s v="ORD10057"/>
    <s v="Customer 1"/>
    <x v="1"/>
    <x v="2"/>
    <s v="Notebook"/>
    <n v="10"/>
    <n v="1183.98"/>
    <n v="15"/>
    <s v="David"/>
    <n v="10063.83"/>
  </r>
  <r>
    <x v="53"/>
    <s v="ORD10058"/>
    <s v="Customer 40"/>
    <x v="1"/>
    <x v="0"/>
    <s v="Cabinet"/>
    <n v="10"/>
    <n v="742.25"/>
    <n v="10"/>
    <s v="Fatima"/>
    <n v="6680.25"/>
  </r>
  <r>
    <x v="54"/>
    <s v="ORD10059"/>
    <s v="Customer 35"/>
    <x v="3"/>
    <x v="3"/>
    <s v="Mouse"/>
    <n v="8"/>
    <n v="376.54"/>
    <n v="5"/>
    <s v="David"/>
    <n v="2861.7040000000002"/>
  </r>
  <r>
    <x v="55"/>
    <s v="ORD10060"/>
    <s v="Customer 29"/>
    <x v="2"/>
    <x v="0"/>
    <s v="Desk"/>
    <n v="8"/>
    <n v="1069.67"/>
    <n v="10"/>
    <s v="Ben"/>
    <n v="7701.6240000000007"/>
  </r>
  <r>
    <x v="5"/>
    <s v="ORD10061"/>
    <s v="Customer 2"/>
    <x v="3"/>
    <x v="3"/>
    <s v="Mouse"/>
    <n v="7"/>
    <n v="797.72"/>
    <n v="0"/>
    <s v="Ben"/>
    <n v="5584.04"/>
  </r>
  <r>
    <x v="56"/>
    <s v="ORD10062"/>
    <s v="Customer 18"/>
    <x v="0"/>
    <x v="3"/>
    <s v="Keyboard"/>
    <n v="2"/>
    <n v="1091.08"/>
    <n v="5"/>
    <s v="Ben"/>
    <n v="2073.0519999999997"/>
  </r>
  <r>
    <x v="57"/>
    <s v="ORD10063"/>
    <s v="Customer 45"/>
    <x v="2"/>
    <x v="2"/>
    <s v="Pen"/>
    <n v="6"/>
    <n v="675.43"/>
    <n v="0"/>
    <s v="David"/>
    <n v="4052.58"/>
  </r>
  <r>
    <x v="18"/>
    <s v="ORD10064"/>
    <s v="Customer 58"/>
    <x v="3"/>
    <x v="0"/>
    <s v="Cabinet"/>
    <n v="4"/>
    <n v="282.35000000000002"/>
    <n v="15"/>
    <s v="Chris"/>
    <n v="959.99"/>
  </r>
  <r>
    <x v="58"/>
    <s v="ORD10065"/>
    <s v="Customer 40"/>
    <x v="3"/>
    <x v="3"/>
    <s v="Mouse"/>
    <n v="1"/>
    <n v="290.39999999999998"/>
    <n v="5"/>
    <s v="Emma"/>
    <n v="275.87999999999994"/>
  </r>
  <r>
    <x v="59"/>
    <s v="ORD10066"/>
    <s v="Customer 12"/>
    <x v="0"/>
    <x v="0"/>
    <s v="Cabinet"/>
    <n v="4"/>
    <n v="803.88"/>
    <n v="15"/>
    <s v="David"/>
    <n v="2733.192"/>
  </r>
  <r>
    <x v="60"/>
    <s v="ORD10067"/>
    <s v="Customer 30"/>
    <x v="0"/>
    <x v="0"/>
    <s v="Cabinet"/>
    <n v="4"/>
    <n v="472.22"/>
    <n v="5"/>
    <s v="David"/>
    <n v="1794.4359999999999"/>
  </r>
  <r>
    <x v="19"/>
    <s v="ORD10068"/>
    <s v="Customer 30"/>
    <x v="3"/>
    <x v="2"/>
    <s v="Pen"/>
    <n v="2"/>
    <n v="944.48"/>
    <n v="15"/>
    <s v="Fatima"/>
    <n v="1605.616"/>
  </r>
  <r>
    <x v="61"/>
    <s v="ORD10069"/>
    <s v="Customer 12"/>
    <x v="1"/>
    <x v="2"/>
    <s v="Printer Paper"/>
    <n v="4"/>
    <n v="179.87"/>
    <n v="10"/>
    <s v="Chris"/>
    <n v="647.53200000000004"/>
  </r>
  <r>
    <x v="62"/>
    <s v="ORD10070"/>
    <s v="Customer 49"/>
    <x v="2"/>
    <x v="1"/>
    <s v="USB Drive"/>
    <n v="2"/>
    <n v="521.23"/>
    <n v="0"/>
    <s v="Emma"/>
    <n v="1042.46"/>
  </r>
  <r>
    <x v="63"/>
    <s v="ORD10071"/>
    <s v="Customer 59"/>
    <x v="3"/>
    <x v="3"/>
    <s v="Monitor"/>
    <n v="3"/>
    <n v="193.19"/>
    <n v="10"/>
    <s v="Emma"/>
    <n v="521.61299999999994"/>
  </r>
  <r>
    <x v="64"/>
    <s v="ORD10072"/>
    <s v="Customer 75"/>
    <x v="3"/>
    <x v="1"/>
    <s v="USB Drive"/>
    <n v="4"/>
    <n v="316.89"/>
    <n v="0"/>
    <s v="Ben"/>
    <n v="1267.56"/>
  </r>
  <r>
    <x v="65"/>
    <s v="ORD10073"/>
    <s v="Customer 18"/>
    <x v="1"/>
    <x v="2"/>
    <s v="Pen"/>
    <n v="9"/>
    <n v="1030.72"/>
    <n v="0"/>
    <s v="Emma"/>
    <n v="9276.48"/>
  </r>
  <r>
    <x v="66"/>
    <s v="ORD10074"/>
    <s v="Customer 15"/>
    <x v="0"/>
    <x v="2"/>
    <s v="Printer Paper"/>
    <n v="10"/>
    <n v="650.99"/>
    <n v="10"/>
    <s v="Fatima"/>
    <n v="5858.91"/>
  </r>
  <r>
    <x v="35"/>
    <s v="ORD10075"/>
    <s v="Customer 39"/>
    <x v="1"/>
    <x v="0"/>
    <s v="Cabinet"/>
    <n v="7"/>
    <n v="864.97"/>
    <n v="5"/>
    <s v="David"/>
    <n v="5752.0504999999994"/>
  </r>
  <r>
    <x v="45"/>
    <s v="ORD10076"/>
    <s v="Customer 49"/>
    <x v="1"/>
    <x v="1"/>
    <s v="USB Drive"/>
    <n v="7"/>
    <n v="589.35"/>
    <n v="10"/>
    <s v="David"/>
    <n v="3712.9049999999997"/>
  </r>
  <r>
    <x v="67"/>
    <s v="ORD10077"/>
    <s v="Customer 60"/>
    <x v="1"/>
    <x v="2"/>
    <s v="Printer Paper"/>
    <n v="5"/>
    <n v="944.13"/>
    <n v="10"/>
    <s v="Ben"/>
    <n v="4248.585"/>
  </r>
  <r>
    <x v="68"/>
    <s v="ORD10078"/>
    <s v="Customer 60"/>
    <x v="2"/>
    <x v="1"/>
    <s v="Headset"/>
    <n v="8"/>
    <n v="534.97"/>
    <n v="15"/>
    <s v="Emma"/>
    <n v="3637.7960000000003"/>
  </r>
  <r>
    <x v="68"/>
    <s v="ORD10079"/>
    <s v="Customer 31"/>
    <x v="3"/>
    <x v="2"/>
    <s v="Notebook"/>
    <n v="6"/>
    <n v="473.67"/>
    <n v="10"/>
    <s v="Alice"/>
    <n v="2557.8180000000002"/>
  </r>
  <r>
    <x v="69"/>
    <s v="ORD10080"/>
    <s v="Customer 31"/>
    <x v="3"/>
    <x v="0"/>
    <s v="Desk"/>
    <n v="7"/>
    <n v="377.82"/>
    <n v="15"/>
    <s v="Ben"/>
    <n v="2248.0289999999995"/>
  </r>
  <r>
    <x v="70"/>
    <s v="ORD10081"/>
    <s v="Customer 5"/>
    <x v="0"/>
    <x v="3"/>
    <s v="Monitor"/>
    <n v="8"/>
    <n v="806.43"/>
    <n v="0"/>
    <s v="Ben"/>
    <n v="6451.44"/>
  </r>
  <r>
    <x v="71"/>
    <s v="ORD10082"/>
    <s v="Customer 19"/>
    <x v="2"/>
    <x v="0"/>
    <s v="Cabinet"/>
    <n v="7"/>
    <n v="904.96"/>
    <n v="5"/>
    <s v="David"/>
    <n v="6017.9840000000004"/>
  </r>
  <r>
    <x v="72"/>
    <s v="ORD10083"/>
    <s v="Customer 76"/>
    <x v="3"/>
    <x v="1"/>
    <s v="Headset"/>
    <n v="5"/>
    <n v="1134.74"/>
    <n v="5"/>
    <s v="Ben"/>
    <n v="5390.0149999999994"/>
  </r>
  <r>
    <x v="73"/>
    <s v="ORD10084"/>
    <s v="Customer 43"/>
    <x v="2"/>
    <x v="0"/>
    <s v="Cabinet"/>
    <n v="4"/>
    <n v="78.400000000000006"/>
    <n v="0"/>
    <s v="Fatima"/>
    <n v="313.60000000000002"/>
  </r>
  <r>
    <x v="74"/>
    <s v="ORD10085"/>
    <s v="Customer 58"/>
    <x v="1"/>
    <x v="1"/>
    <s v="Headset"/>
    <n v="8"/>
    <n v="995.34"/>
    <n v="5"/>
    <s v="Fatima"/>
    <n v="7564.5839999999998"/>
  </r>
  <r>
    <x v="45"/>
    <s v="ORD10086"/>
    <s v="Customer 15"/>
    <x v="3"/>
    <x v="2"/>
    <s v="Printer Paper"/>
    <n v="2"/>
    <n v="196.91"/>
    <n v="15"/>
    <s v="David"/>
    <n v="334.74699999999996"/>
  </r>
  <r>
    <x v="75"/>
    <s v="ORD10087"/>
    <s v="Customer 15"/>
    <x v="2"/>
    <x v="1"/>
    <s v="Webcam"/>
    <n v="9"/>
    <n v="527.09"/>
    <n v="0"/>
    <s v="David"/>
    <n v="4743.8100000000004"/>
  </r>
  <r>
    <x v="76"/>
    <s v="ORD10088"/>
    <s v="Customer 29"/>
    <x v="0"/>
    <x v="3"/>
    <s v="Monitor"/>
    <n v="4"/>
    <n v="1105.1500000000001"/>
    <n v="15"/>
    <s v="Alice"/>
    <n v="3757.51"/>
  </r>
  <r>
    <x v="77"/>
    <s v="ORD10089"/>
    <s v="Customer 79"/>
    <x v="2"/>
    <x v="3"/>
    <s v="Mouse"/>
    <n v="9"/>
    <n v="146.38999999999999"/>
    <n v="5"/>
    <s v="Emma"/>
    <n v="1251.6344999999997"/>
  </r>
  <r>
    <x v="78"/>
    <s v="ORD10090"/>
    <s v="Customer 11"/>
    <x v="3"/>
    <x v="1"/>
    <s v="USB Drive"/>
    <n v="1"/>
    <n v="252.77"/>
    <n v="0"/>
    <s v="Ben"/>
    <n v="252.77"/>
  </r>
  <r>
    <x v="26"/>
    <s v="ORD10091"/>
    <s v="Customer 9"/>
    <x v="1"/>
    <x v="2"/>
    <s v="Pen"/>
    <n v="9"/>
    <n v="293.5"/>
    <n v="0"/>
    <s v="David"/>
    <n v="2641.5"/>
  </r>
  <r>
    <x v="53"/>
    <s v="ORD10092"/>
    <s v="Customer 26"/>
    <x v="1"/>
    <x v="3"/>
    <s v="Mouse"/>
    <n v="7"/>
    <n v="385.77"/>
    <n v="10"/>
    <s v="David"/>
    <n v="2430.3510000000001"/>
  </r>
  <r>
    <x v="79"/>
    <s v="ORD10093"/>
    <s v="Customer 20"/>
    <x v="1"/>
    <x v="3"/>
    <s v="Monitor"/>
    <n v="8"/>
    <n v="925.37"/>
    <n v="0"/>
    <s v="David"/>
    <n v="7402.96"/>
  </r>
  <r>
    <x v="62"/>
    <s v="ORD10094"/>
    <s v="Customer 53"/>
    <x v="0"/>
    <x v="1"/>
    <s v="Headset"/>
    <n v="6"/>
    <n v="505.36"/>
    <n v="0"/>
    <s v="David"/>
    <n v="3032.16"/>
  </r>
  <r>
    <x v="80"/>
    <s v="ORD10095"/>
    <s v="Customer 24"/>
    <x v="3"/>
    <x v="3"/>
    <s v="Monitor"/>
    <n v="9"/>
    <n v="495.19"/>
    <n v="5"/>
    <s v="David"/>
    <n v="4233.8744999999999"/>
  </r>
  <r>
    <x v="81"/>
    <s v="ORD10096"/>
    <s v="Customer 72"/>
    <x v="3"/>
    <x v="2"/>
    <s v="Notebook"/>
    <n v="5"/>
    <n v="600.87"/>
    <n v="15"/>
    <s v="Fatima"/>
    <n v="2553.6974999999998"/>
  </r>
  <r>
    <x v="8"/>
    <s v="ORD10097"/>
    <s v="Customer 56"/>
    <x v="0"/>
    <x v="0"/>
    <s v="Desk"/>
    <n v="7"/>
    <n v="717.21"/>
    <n v="15"/>
    <s v="Emma"/>
    <n v="4267.3995000000004"/>
  </r>
  <r>
    <x v="82"/>
    <s v="ORD10098"/>
    <s v="Customer 25"/>
    <x v="1"/>
    <x v="2"/>
    <s v="Notebook"/>
    <n v="9"/>
    <n v="1188.77"/>
    <n v="10"/>
    <s v="Fatima"/>
    <n v="9629.0370000000003"/>
  </r>
  <r>
    <x v="83"/>
    <s v="ORD10099"/>
    <s v="Customer 69"/>
    <x v="2"/>
    <x v="2"/>
    <s v="Notebook"/>
    <n v="6"/>
    <n v="154.77000000000001"/>
    <n v="0"/>
    <s v="Ben"/>
    <n v="928.62000000000012"/>
  </r>
  <r>
    <x v="84"/>
    <s v="ORD10100"/>
    <s v="Customer 12"/>
    <x v="1"/>
    <x v="1"/>
    <s v="Headset"/>
    <n v="9"/>
    <n v="938.37"/>
    <n v="15"/>
    <s v="Ben"/>
    <n v="7178.5304999999998"/>
  </r>
  <r>
    <x v="26"/>
    <s v="ORD10101"/>
    <s v="Customer 4"/>
    <x v="0"/>
    <x v="1"/>
    <s v="USB Drive"/>
    <n v="1"/>
    <n v="15.63"/>
    <n v="10"/>
    <s v="Chris"/>
    <n v="14.067"/>
  </r>
  <r>
    <x v="30"/>
    <s v="ORD10102"/>
    <s v="Customer 25"/>
    <x v="2"/>
    <x v="2"/>
    <s v="Notebook"/>
    <n v="7"/>
    <n v="483.72"/>
    <n v="0"/>
    <s v="Ben"/>
    <n v="3386.04"/>
  </r>
  <r>
    <x v="85"/>
    <s v="ORD10103"/>
    <s v="Customer 9"/>
    <x v="1"/>
    <x v="0"/>
    <s v="Desk"/>
    <n v="2"/>
    <n v="141.54"/>
    <n v="5"/>
    <s v="Emma"/>
    <n v="268.92599999999999"/>
  </r>
  <r>
    <x v="86"/>
    <s v="ORD10104"/>
    <s v="Customer 47"/>
    <x v="1"/>
    <x v="1"/>
    <s v="Webcam"/>
    <n v="3"/>
    <n v="182.68"/>
    <n v="0"/>
    <s v="Ben"/>
    <n v="548.04"/>
  </r>
  <r>
    <x v="80"/>
    <s v="ORD10105"/>
    <s v="Customer 16"/>
    <x v="0"/>
    <x v="3"/>
    <s v="Monitor"/>
    <n v="3"/>
    <n v="1168.52"/>
    <n v="10"/>
    <s v="David"/>
    <n v="3155.0039999999999"/>
  </r>
  <r>
    <x v="49"/>
    <s v="ORD10106"/>
    <s v="Customer 6"/>
    <x v="1"/>
    <x v="1"/>
    <s v="Headset"/>
    <n v="8"/>
    <n v="898.35"/>
    <n v="5"/>
    <s v="David"/>
    <n v="6827.46"/>
  </r>
  <r>
    <x v="39"/>
    <s v="ORD10107"/>
    <s v="Customer 34"/>
    <x v="3"/>
    <x v="0"/>
    <s v="Chair"/>
    <n v="5"/>
    <n v="829.57"/>
    <n v="5"/>
    <s v="David"/>
    <n v="3940.4575"/>
  </r>
  <r>
    <x v="42"/>
    <s v="ORD10108"/>
    <s v="Customer 8"/>
    <x v="3"/>
    <x v="0"/>
    <s v="Chair"/>
    <n v="2"/>
    <n v="239.25"/>
    <n v="15"/>
    <s v="Ben"/>
    <n v="406.72499999999997"/>
  </r>
  <r>
    <x v="43"/>
    <s v="ORD10109"/>
    <s v="Customer 30"/>
    <x v="2"/>
    <x v="0"/>
    <s v="Desk"/>
    <n v="5"/>
    <n v="143.22999999999999"/>
    <n v="10"/>
    <s v="Ben"/>
    <n v="644.53499999999997"/>
  </r>
  <r>
    <x v="87"/>
    <s v="ORD10110"/>
    <s v="Customer 73"/>
    <x v="3"/>
    <x v="3"/>
    <s v="Monitor"/>
    <n v="10"/>
    <n v="934.05"/>
    <n v="15"/>
    <s v="David"/>
    <n v="7939.4250000000002"/>
  </r>
  <r>
    <x v="88"/>
    <s v="ORD10111"/>
    <s v="Customer 44"/>
    <x v="1"/>
    <x v="0"/>
    <s v="Chair"/>
    <n v="10"/>
    <n v="866.49"/>
    <n v="0"/>
    <s v="Emma"/>
    <n v="8664.9"/>
  </r>
  <r>
    <x v="80"/>
    <s v="ORD10112"/>
    <s v="Customer 47"/>
    <x v="1"/>
    <x v="2"/>
    <s v="Printer Paper"/>
    <n v="9"/>
    <n v="242.66"/>
    <n v="5"/>
    <s v="Fatima"/>
    <n v="2074.7429999999999"/>
  </r>
  <r>
    <x v="5"/>
    <s v="ORD10113"/>
    <s v="Customer 25"/>
    <x v="0"/>
    <x v="3"/>
    <s v="Keyboard"/>
    <n v="6"/>
    <n v="665.15"/>
    <n v="15"/>
    <s v="David"/>
    <n v="3392.2649999999994"/>
  </r>
  <r>
    <x v="89"/>
    <s v="ORD10114"/>
    <s v="Customer 40"/>
    <x v="1"/>
    <x v="0"/>
    <s v="Desk"/>
    <n v="5"/>
    <n v="410.97"/>
    <n v="0"/>
    <s v="Chris"/>
    <n v="2054.8500000000004"/>
  </r>
  <r>
    <x v="90"/>
    <s v="ORD10115"/>
    <s v="Customer 30"/>
    <x v="3"/>
    <x v="1"/>
    <s v="USB Drive"/>
    <n v="3"/>
    <n v="52.02"/>
    <n v="0"/>
    <s v="Fatima"/>
    <n v="156.06"/>
  </r>
  <r>
    <x v="91"/>
    <s v="ORD10116"/>
    <s v="Customer 59"/>
    <x v="1"/>
    <x v="2"/>
    <s v="Notebook"/>
    <n v="9"/>
    <n v="464.98"/>
    <n v="0"/>
    <s v="Fatima"/>
    <n v="4184.82"/>
  </r>
  <r>
    <x v="21"/>
    <s v="ORD10117"/>
    <s v="Customer 56"/>
    <x v="2"/>
    <x v="3"/>
    <s v="Mouse"/>
    <n v="1"/>
    <n v="272.16000000000003"/>
    <n v="15"/>
    <s v="Emma"/>
    <n v="231.33600000000001"/>
  </r>
  <r>
    <x v="77"/>
    <s v="ORD10118"/>
    <s v="Customer 12"/>
    <x v="2"/>
    <x v="2"/>
    <s v="Pen"/>
    <n v="5"/>
    <n v="417.25"/>
    <n v="10"/>
    <s v="Fatima"/>
    <n v="1877.625"/>
  </r>
  <r>
    <x v="92"/>
    <s v="ORD10119"/>
    <s v="Customer 65"/>
    <x v="3"/>
    <x v="2"/>
    <s v="Pen"/>
    <n v="4"/>
    <n v="79.12"/>
    <n v="15"/>
    <s v="Chris"/>
    <n v="269.00799999999998"/>
  </r>
  <r>
    <x v="93"/>
    <s v="ORD10120"/>
    <s v="Customer 27"/>
    <x v="3"/>
    <x v="0"/>
    <s v="Desk"/>
    <n v="6"/>
    <n v="22.12"/>
    <n v="10"/>
    <s v="Alice"/>
    <n v="119.44800000000001"/>
  </r>
  <r>
    <x v="55"/>
    <s v="ORD10121"/>
    <s v="Customer 9"/>
    <x v="0"/>
    <x v="2"/>
    <s v="Printer Paper"/>
    <n v="10"/>
    <n v="752.55"/>
    <n v="15"/>
    <s v="David"/>
    <n v="6396.6750000000002"/>
  </r>
  <r>
    <x v="94"/>
    <s v="ORD10122"/>
    <s v="Customer 70"/>
    <x v="2"/>
    <x v="3"/>
    <s v="Mouse"/>
    <n v="1"/>
    <n v="403.18"/>
    <n v="5"/>
    <s v="David"/>
    <n v="383.02100000000002"/>
  </r>
  <r>
    <x v="77"/>
    <s v="ORD10123"/>
    <s v="Customer 23"/>
    <x v="3"/>
    <x v="1"/>
    <s v="USB Drive"/>
    <n v="8"/>
    <n v="72.61"/>
    <n v="15"/>
    <s v="David"/>
    <n v="493.74799999999999"/>
  </r>
  <r>
    <x v="1"/>
    <s v="ORD10124"/>
    <s v="Customer 44"/>
    <x v="0"/>
    <x v="0"/>
    <s v="Chair"/>
    <n v="8"/>
    <n v="724.57"/>
    <n v="5"/>
    <s v="Chris"/>
    <n v="5506.732"/>
  </r>
  <r>
    <x v="95"/>
    <s v="ORD10125"/>
    <s v="Customer 50"/>
    <x v="3"/>
    <x v="3"/>
    <s v="Mouse"/>
    <n v="3"/>
    <n v="262.39"/>
    <n v="15"/>
    <s v="Chris"/>
    <n v="669.09449999999993"/>
  </r>
  <r>
    <x v="96"/>
    <s v="ORD10126"/>
    <s v="Customer 58"/>
    <x v="0"/>
    <x v="3"/>
    <s v="Monitor"/>
    <n v="4"/>
    <n v="13.06"/>
    <n v="15"/>
    <s v="David"/>
    <n v="44.404000000000003"/>
  </r>
  <r>
    <x v="97"/>
    <s v="ORD10127"/>
    <s v="Customer 17"/>
    <x v="0"/>
    <x v="2"/>
    <s v="Printer Paper"/>
    <n v="4"/>
    <n v="63.05"/>
    <n v="10"/>
    <s v="David"/>
    <n v="226.98"/>
  </r>
  <r>
    <x v="98"/>
    <s v="ORD10128"/>
    <s v="Customer 50"/>
    <x v="0"/>
    <x v="3"/>
    <s v="Monitor"/>
    <n v="9"/>
    <n v="176.8"/>
    <n v="15"/>
    <s v="Fatima"/>
    <n v="1352.52"/>
  </r>
  <r>
    <x v="69"/>
    <s v="ORD10129"/>
    <s v="Customer 12"/>
    <x v="2"/>
    <x v="2"/>
    <s v="Pen"/>
    <n v="5"/>
    <n v="857.32"/>
    <n v="5"/>
    <s v="Chris"/>
    <n v="4072.27"/>
  </r>
  <r>
    <x v="61"/>
    <s v="ORD10130"/>
    <s v="Customer 25"/>
    <x v="2"/>
    <x v="3"/>
    <s v="Keyboard"/>
    <n v="3"/>
    <n v="482.23"/>
    <n v="0"/>
    <s v="Chris"/>
    <n v="1446.69"/>
  </r>
  <r>
    <x v="21"/>
    <s v="ORD10131"/>
    <s v="Customer 16"/>
    <x v="2"/>
    <x v="3"/>
    <s v="Laptop"/>
    <n v="5"/>
    <n v="1032.9000000000001"/>
    <n v="5"/>
    <s v="David"/>
    <n v="4906.2749999999996"/>
  </r>
  <r>
    <x v="99"/>
    <s v="ORD10132"/>
    <s v="Customer 79"/>
    <x v="2"/>
    <x v="2"/>
    <s v="Pen"/>
    <n v="2"/>
    <n v="1064.94"/>
    <n v="5"/>
    <s v="Ben"/>
    <n v="2023.386"/>
  </r>
  <r>
    <x v="100"/>
    <s v="ORD10133"/>
    <s v="Customer 39"/>
    <x v="1"/>
    <x v="0"/>
    <s v="Chair"/>
    <n v="10"/>
    <n v="1080.44"/>
    <n v="5"/>
    <s v="Alice"/>
    <n v="10264.18"/>
  </r>
  <r>
    <x v="53"/>
    <s v="ORD10134"/>
    <s v="Customer 80"/>
    <x v="0"/>
    <x v="3"/>
    <s v="Mouse"/>
    <n v="4"/>
    <n v="15.9"/>
    <n v="10"/>
    <s v="David"/>
    <n v="57.24"/>
  </r>
  <r>
    <x v="80"/>
    <s v="ORD10135"/>
    <s v="Customer 31"/>
    <x v="2"/>
    <x v="1"/>
    <s v="Webcam"/>
    <n v="3"/>
    <n v="901.08"/>
    <n v="15"/>
    <s v="David"/>
    <n v="2297.7540000000004"/>
  </r>
  <r>
    <x v="101"/>
    <s v="ORD10136"/>
    <s v="Customer 28"/>
    <x v="0"/>
    <x v="0"/>
    <s v="Desk"/>
    <n v="4"/>
    <n v="773.04"/>
    <n v="10"/>
    <s v="Alice"/>
    <n v="2782.944"/>
  </r>
  <r>
    <x v="79"/>
    <s v="ORD10137"/>
    <s v="Customer 4"/>
    <x v="0"/>
    <x v="1"/>
    <s v="Webcam"/>
    <n v="8"/>
    <n v="608.13"/>
    <n v="5"/>
    <s v="David"/>
    <n v="4621.7879999999996"/>
  </r>
  <r>
    <x v="26"/>
    <s v="ORD10138"/>
    <s v="Customer 79"/>
    <x v="1"/>
    <x v="1"/>
    <s v="Headset"/>
    <n v="9"/>
    <n v="498.73"/>
    <n v="10"/>
    <s v="Emma"/>
    <n v="4039.7129999999997"/>
  </r>
  <r>
    <x v="102"/>
    <s v="ORD10139"/>
    <s v="Customer 13"/>
    <x v="2"/>
    <x v="1"/>
    <s v="Webcam"/>
    <n v="7"/>
    <n v="1128.5999999999999"/>
    <n v="15"/>
    <s v="Chris"/>
    <n v="6715.1699999999992"/>
  </r>
  <r>
    <x v="68"/>
    <s v="ORD10140"/>
    <s v="Customer 14"/>
    <x v="2"/>
    <x v="3"/>
    <s v="Monitor"/>
    <n v="1"/>
    <n v="33.6"/>
    <n v="5"/>
    <s v="Alice"/>
    <n v="31.919999999999998"/>
  </r>
  <r>
    <x v="103"/>
    <s v="ORD10141"/>
    <s v="Customer 22"/>
    <x v="0"/>
    <x v="1"/>
    <s v="Headset"/>
    <n v="7"/>
    <n v="872.22"/>
    <n v="15"/>
    <s v="Emma"/>
    <n v="5189.7089999999998"/>
  </r>
  <r>
    <x v="10"/>
    <s v="ORD10142"/>
    <s v="Customer 60"/>
    <x v="1"/>
    <x v="2"/>
    <s v="Printer Paper"/>
    <n v="5"/>
    <n v="887.18"/>
    <n v="15"/>
    <s v="David"/>
    <n v="3770.5149999999994"/>
  </r>
  <r>
    <x v="54"/>
    <s v="ORD10143"/>
    <s v="Customer 78"/>
    <x v="1"/>
    <x v="3"/>
    <s v="Keyboard"/>
    <n v="4"/>
    <n v="36.42"/>
    <n v="5"/>
    <s v="David"/>
    <n v="138.39599999999999"/>
  </r>
  <r>
    <x v="2"/>
    <s v="ORD10144"/>
    <s v="Customer 60"/>
    <x v="0"/>
    <x v="3"/>
    <s v="Mouse"/>
    <n v="6"/>
    <n v="323.42"/>
    <n v="10"/>
    <s v="Alice"/>
    <n v="1746.4680000000001"/>
  </r>
  <r>
    <x v="93"/>
    <s v="ORD10145"/>
    <s v="Customer 34"/>
    <x v="1"/>
    <x v="1"/>
    <s v="Headset"/>
    <n v="8"/>
    <n v="1107.46"/>
    <n v="15"/>
    <s v="Fatima"/>
    <n v="7530.7280000000001"/>
  </r>
  <r>
    <x v="104"/>
    <s v="ORD10146"/>
    <s v="Customer 45"/>
    <x v="1"/>
    <x v="2"/>
    <s v="Printer Paper"/>
    <n v="9"/>
    <n v="616.07000000000005"/>
    <n v="5"/>
    <s v="Fatima"/>
    <n v="5267.3985000000002"/>
  </r>
  <r>
    <x v="86"/>
    <s v="ORD10147"/>
    <s v="Customer 41"/>
    <x v="3"/>
    <x v="0"/>
    <s v="Desk"/>
    <n v="4"/>
    <n v="165.6"/>
    <n v="0"/>
    <s v="Fatima"/>
    <n v="662.4"/>
  </r>
  <r>
    <x v="42"/>
    <s v="ORD10148"/>
    <s v="Customer 17"/>
    <x v="2"/>
    <x v="1"/>
    <s v="USB Drive"/>
    <n v="4"/>
    <n v="262.48"/>
    <n v="10"/>
    <s v="Emma"/>
    <n v="944.92800000000011"/>
  </r>
  <r>
    <x v="105"/>
    <s v="ORD10149"/>
    <s v="Customer 52"/>
    <x v="0"/>
    <x v="2"/>
    <s v="Notebook"/>
    <n v="5"/>
    <n v="345.04"/>
    <n v="10"/>
    <s v="Ben"/>
    <n v="1552.68"/>
  </r>
  <r>
    <x v="89"/>
    <s v="ORD10150"/>
    <s v="Customer 6"/>
    <x v="1"/>
    <x v="3"/>
    <s v="Mouse"/>
    <n v="9"/>
    <n v="1185.22"/>
    <n v="5"/>
    <s v="David"/>
    <n v="10133.630999999999"/>
  </r>
  <r>
    <x v="106"/>
    <s v="ORD10151"/>
    <s v="Customer 9"/>
    <x v="0"/>
    <x v="3"/>
    <s v="Monitor"/>
    <n v="5"/>
    <n v="743.66"/>
    <n v="10"/>
    <s v="David"/>
    <n v="3346.47"/>
  </r>
  <r>
    <x v="80"/>
    <s v="ORD10152"/>
    <s v="Customer 16"/>
    <x v="0"/>
    <x v="3"/>
    <s v="Mouse"/>
    <n v="2"/>
    <n v="621.9"/>
    <n v="10"/>
    <s v="Alice"/>
    <n v="1119.42"/>
  </r>
  <r>
    <x v="107"/>
    <s v="ORD10153"/>
    <s v="Customer 30"/>
    <x v="0"/>
    <x v="0"/>
    <s v="Cabinet"/>
    <n v="10"/>
    <n v="691.58"/>
    <n v="10"/>
    <s v="Chris"/>
    <n v="6224.22"/>
  </r>
  <r>
    <x v="73"/>
    <s v="ORD10154"/>
    <s v="Customer 47"/>
    <x v="0"/>
    <x v="1"/>
    <s v="Headset"/>
    <n v="10"/>
    <n v="171.27"/>
    <n v="10"/>
    <s v="David"/>
    <n v="1541.43"/>
  </r>
  <r>
    <x v="108"/>
    <s v="ORD10155"/>
    <s v="Customer 26"/>
    <x v="3"/>
    <x v="0"/>
    <s v="Chair"/>
    <n v="4"/>
    <n v="1001.37"/>
    <n v="10"/>
    <s v="Alice"/>
    <n v="3604.9320000000002"/>
  </r>
  <r>
    <x v="99"/>
    <s v="ORD10156"/>
    <s v="Customer 69"/>
    <x v="1"/>
    <x v="1"/>
    <s v="USB Drive"/>
    <n v="8"/>
    <n v="546.23"/>
    <n v="10"/>
    <s v="Alice"/>
    <n v="3932.8560000000002"/>
  </r>
  <r>
    <x v="103"/>
    <s v="ORD10157"/>
    <s v="Customer 53"/>
    <x v="2"/>
    <x v="2"/>
    <s v="Pen"/>
    <n v="3"/>
    <n v="120.26"/>
    <n v="5"/>
    <s v="David"/>
    <n v="342.74099999999999"/>
  </r>
  <r>
    <x v="109"/>
    <s v="ORD10158"/>
    <s v="Customer 62"/>
    <x v="1"/>
    <x v="0"/>
    <s v="Cabinet"/>
    <n v="7"/>
    <n v="710.1"/>
    <n v="10"/>
    <s v="Chris"/>
    <n v="4473.63"/>
  </r>
  <r>
    <x v="105"/>
    <s v="ORD10159"/>
    <s v="Customer 69"/>
    <x v="2"/>
    <x v="2"/>
    <s v="Printer Paper"/>
    <n v="9"/>
    <n v="538.15"/>
    <n v="10"/>
    <s v="Emma"/>
    <n v="4359.0149999999994"/>
  </r>
  <r>
    <x v="110"/>
    <s v="ORD10160"/>
    <s v="Customer 71"/>
    <x v="3"/>
    <x v="2"/>
    <s v="Printer Paper"/>
    <n v="7"/>
    <n v="601.58000000000004"/>
    <n v="10"/>
    <s v="Emma"/>
    <n v="3789.9540000000006"/>
  </r>
  <r>
    <x v="63"/>
    <s v="ORD10161"/>
    <s v="Customer 73"/>
    <x v="0"/>
    <x v="0"/>
    <s v="Cabinet"/>
    <n v="4"/>
    <n v="325.89"/>
    <n v="10"/>
    <s v="Fatima"/>
    <n v="1173.204"/>
  </r>
  <r>
    <x v="111"/>
    <s v="ORD10162"/>
    <s v="Customer 18"/>
    <x v="2"/>
    <x v="3"/>
    <s v="Laptop"/>
    <n v="9"/>
    <n v="820.9"/>
    <n v="5"/>
    <s v="Ben"/>
    <n v="7018.6949999999988"/>
  </r>
  <r>
    <x v="112"/>
    <s v="ORD10163"/>
    <s v="Customer 10"/>
    <x v="0"/>
    <x v="1"/>
    <s v="Headset"/>
    <n v="5"/>
    <n v="799.61"/>
    <n v="0"/>
    <s v="David"/>
    <n v="3998.05"/>
  </r>
  <r>
    <x v="113"/>
    <s v="ORD10164"/>
    <s v="Customer 64"/>
    <x v="0"/>
    <x v="3"/>
    <s v="Keyboard"/>
    <n v="10"/>
    <n v="939.23"/>
    <n v="5"/>
    <s v="Fatima"/>
    <n v="8922.6849999999995"/>
  </r>
  <r>
    <x v="114"/>
    <s v="ORD10165"/>
    <s v="Customer 48"/>
    <x v="3"/>
    <x v="0"/>
    <s v="Desk"/>
    <n v="5"/>
    <n v="263.06"/>
    <n v="10"/>
    <s v="Ben"/>
    <n v="1183.77"/>
  </r>
  <r>
    <x v="61"/>
    <s v="ORD10166"/>
    <s v="Customer 33"/>
    <x v="0"/>
    <x v="1"/>
    <s v="USB Drive"/>
    <n v="3"/>
    <n v="22.19"/>
    <n v="15"/>
    <s v="Fatima"/>
    <n v="56.584500000000006"/>
  </r>
  <r>
    <x v="115"/>
    <s v="ORD10167"/>
    <s v="Customer 18"/>
    <x v="0"/>
    <x v="1"/>
    <s v="Headset"/>
    <n v="3"/>
    <n v="442.76"/>
    <n v="5"/>
    <s v="David"/>
    <n v="1261.866"/>
  </r>
  <r>
    <x v="116"/>
    <s v="ORD10168"/>
    <s v="Customer 48"/>
    <x v="1"/>
    <x v="1"/>
    <s v="Webcam"/>
    <n v="2"/>
    <n v="463.04"/>
    <n v="0"/>
    <s v="Fatima"/>
    <n v="926.08"/>
  </r>
  <r>
    <x v="117"/>
    <s v="ORD10169"/>
    <s v="Customer 75"/>
    <x v="2"/>
    <x v="1"/>
    <s v="USB Drive"/>
    <n v="7"/>
    <n v="141.16"/>
    <n v="15"/>
    <s v="Ben"/>
    <n v="839.90199999999993"/>
  </r>
  <r>
    <x v="118"/>
    <s v="ORD10170"/>
    <s v="Customer 9"/>
    <x v="0"/>
    <x v="2"/>
    <s v="Printer Paper"/>
    <n v="3"/>
    <n v="450.9"/>
    <n v="5"/>
    <s v="Ben"/>
    <n v="1285.0649999999998"/>
  </r>
  <r>
    <x v="5"/>
    <s v="ORD10171"/>
    <s v="Customer 6"/>
    <x v="3"/>
    <x v="2"/>
    <s v="Notebook"/>
    <n v="6"/>
    <n v="190.9"/>
    <n v="15"/>
    <s v="Fatima"/>
    <n v="973.59"/>
  </r>
  <r>
    <x v="73"/>
    <s v="ORD10172"/>
    <s v="Customer 63"/>
    <x v="0"/>
    <x v="0"/>
    <s v="Cabinet"/>
    <n v="9"/>
    <n v="439.19"/>
    <n v="10"/>
    <s v="Fatima"/>
    <n v="3557.4390000000003"/>
  </r>
  <r>
    <x v="119"/>
    <s v="ORD10173"/>
    <s v="Customer 2"/>
    <x v="3"/>
    <x v="0"/>
    <s v="Cabinet"/>
    <n v="10"/>
    <n v="464.33"/>
    <n v="15"/>
    <s v="Emma"/>
    <n v="3946.8049999999998"/>
  </r>
  <r>
    <x v="74"/>
    <s v="ORD10174"/>
    <s v="Customer 50"/>
    <x v="3"/>
    <x v="1"/>
    <s v="Webcam"/>
    <n v="3"/>
    <n v="212.96"/>
    <n v="10"/>
    <s v="Alice"/>
    <n v="574.99199999999996"/>
  </r>
  <r>
    <x v="120"/>
    <s v="ORD10175"/>
    <s v="Customer 33"/>
    <x v="1"/>
    <x v="3"/>
    <s v="Mouse"/>
    <n v="6"/>
    <n v="881.39"/>
    <n v="10"/>
    <s v="Ben"/>
    <n v="4759.5060000000003"/>
  </r>
  <r>
    <x v="17"/>
    <s v="ORD10176"/>
    <s v="Customer 20"/>
    <x v="3"/>
    <x v="0"/>
    <s v="Desk"/>
    <n v="10"/>
    <n v="180.27"/>
    <n v="0"/>
    <s v="Ben"/>
    <n v="1802.7"/>
  </r>
  <r>
    <x v="121"/>
    <s v="ORD10177"/>
    <s v="Customer 37"/>
    <x v="0"/>
    <x v="0"/>
    <s v="Desk"/>
    <n v="9"/>
    <n v="153.49"/>
    <n v="10"/>
    <s v="Alice"/>
    <n v="1243.269"/>
  </r>
  <r>
    <x v="122"/>
    <s v="ORD10178"/>
    <s v="Customer 40"/>
    <x v="1"/>
    <x v="0"/>
    <s v="Chair"/>
    <n v="7"/>
    <n v="874.16"/>
    <n v="10"/>
    <s v="Chris"/>
    <n v="5507.2079999999996"/>
  </r>
  <r>
    <x v="123"/>
    <s v="ORD10179"/>
    <s v="Customer 75"/>
    <x v="1"/>
    <x v="0"/>
    <s v="Chair"/>
    <n v="7"/>
    <n v="812.32"/>
    <n v="5"/>
    <s v="Emma"/>
    <n v="5401.9280000000008"/>
  </r>
  <r>
    <x v="124"/>
    <s v="ORD10180"/>
    <s v="Customer 33"/>
    <x v="2"/>
    <x v="3"/>
    <s v="Mouse"/>
    <n v="4"/>
    <n v="239.95"/>
    <n v="5"/>
    <s v="Fatima"/>
    <n v="911.81"/>
  </r>
  <r>
    <x v="15"/>
    <s v="ORD10181"/>
    <s v="Customer 54"/>
    <x v="2"/>
    <x v="2"/>
    <s v="Notebook"/>
    <n v="1"/>
    <n v="594.24"/>
    <n v="0"/>
    <s v="Alice"/>
    <n v="594.24"/>
  </r>
  <r>
    <x v="33"/>
    <s v="ORD10182"/>
    <s v="Customer 28"/>
    <x v="1"/>
    <x v="1"/>
    <s v="USB Drive"/>
    <n v="2"/>
    <n v="436.4"/>
    <n v="0"/>
    <s v="Emma"/>
    <n v="872.8"/>
  </r>
  <r>
    <x v="67"/>
    <s v="ORD10183"/>
    <s v="Customer 48"/>
    <x v="0"/>
    <x v="3"/>
    <s v="Monitor"/>
    <n v="3"/>
    <n v="512.62"/>
    <n v="15"/>
    <s v="David"/>
    <n v="1307.181"/>
  </r>
  <r>
    <x v="125"/>
    <s v="ORD10184"/>
    <s v="Customer 79"/>
    <x v="0"/>
    <x v="2"/>
    <s v="Notebook"/>
    <n v="7"/>
    <n v="344.21"/>
    <n v="15"/>
    <s v="Fatima"/>
    <n v="2048.0494999999996"/>
  </r>
  <r>
    <x v="126"/>
    <s v="ORD10185"/>
    <s v="Customer 6"/>
    <x v="0"/>
    <x v="3"/>
    <s v="Mouse"/>
    <n v="1"/>
    <n v="249.58"/>
    <n v="10"/>
    <s v="David"/>
    <n v="224.62200000000001"/>
  </r>
  <r>
    <x v="90"/>
    <s v="ORD10186"/>
    <s v="Customer 68"/>
    <x v="2"/>
    <x v="2"/>
    <s v="Notebook"/>
    <n v="1"/>
    <n v="820.82"/>
    <n v="15"/>
    <s v="Alice"/>
    <n v="697.697"/>
  </r>
  <r>
    <x v="3"/>
    <s v="ORD10187"/>
    <s v="Customer 42"/>
    <x v="0"/>
    <x v="1"/>
    <s v="Headset"/>
    <n v="4"/>
    <n v="27.11"/>
    <n v="10"/>
    <s v="Emma"/>
    <n v="97.596000000000004"/>
  </r>
  <r>
    <x v="127"/>
    <s v="ORD10188"/>
    <s v="Customer 39"/>
    <x v="2"/>
    <x v="0"/>
    <s v="Desk"/>
    <n v="10"/>
    <n v="1168.23"/>
    <n v="0"/>
    <s v="Fatima"/>
    <n v="11682.3"/>
  </r>
  <r>
    <x v="80"/>
    <s v="ORD10189"/>
    <s v="Customer 4"/>
    <x v="3"/>
    <x v="2"/>
    <s v="Printer Paper"/>
    <n v="4"/>
    <n v="752.21"/>
    <n v="10"/>
    <s v="Alice"/>
    <n v="2707.9560000000001"/>
  </r>
  <r>
    <x v="64"/>
    <s v="ORD10190"/>
    <s v="Customer 57"/>
    <x v="3"/>
    <x v="1"/>
    <s v="Webcam"/>
    <n v="6"/>
    <n v="363.28"/>
    <n v="0"/>
    <s v="David"/>
    <n v="2179.6799999999998"/>
  </r>
  <r>
    <x v="128"/>
    <s v="ORD10191"/>
    <s v="Customer 75"/>
    <x v="0"/>
    <x v="1"/>
    <s v="USB Drive"/>
    <n v="1"/>
    <n v="662.95"/>
    <n v="15"/>
    <s v="Ben"/>
    <n v="563.50750000000005"/>
  </r>
  <r>
    <x v="104"/>
    <s v="ORD10192"/>
    <s v="Customer 71"/>
    <x v="3"/>
    <x v="3"/>
    <s v="Laptop"/>
    <n v="2"/>
    <n v="1020.21"/>
    <n v="0"/>
    <s v="Alice"/>
    <n v="2040.42"/>
  </r>
  <r>
    <x v="129"/>
    <s v="ORD10193"/>
    <s v="Customer 55"/>
    <x v="2"/>
    <x v="3"/>
    <s v="Monitor"/>
    <n v="6"/>
    <n v="907.07"/>
    <n v="5"/>
    <s v="Fatima"/>
    <n v="5170.299"/>
  </r>
  <r>
    <x v="66"/>
    <s v="ORD10194"/>
    <s v="Customer 71"/>
    <x v="1"/>
    <x v="1"/>
    <s v="Headset"/>
    <n v="6"/>
    <n v="831.55"/>
    <n v="10"/>
    <s v="Alice"/>
    <n v="4490.37"/>
  </r>
  <r>
    <x v="130"/>
    <s v="ORD10195"/>
    <s v="Customer 47"/>
    <x v="2"/>
    <x v="1"/>
    <s v="Webcam"/>
    <n v="6"/>
    <n v="964.52"/>
    <n v="0"/>
    <s v="Emma"/>
    <n v="5787.12"/>
  </r>
  <r>
    <x v="90"/>
    <s v="ORD10196"/>
    <s v="Customer 43"/>
    <x v="3"/>
    <x v="1"/>
    <s v="USB Drive"/>
    <n v="1"/>
    <n v="222.59"/>
    <n v="0"/>
    <s v="Chris"/>
    <n v="222.59"/>
  </r>
  <r>
    <x v="57"/>
    <s v="ORD10197"/>
    <s v="Customer 33"/>
    <x v="2"/>
    <x v="1"/>
    <s v="Headset"/>
    <n v="5"/>
    <n v="289.16000000000003"/>
    <n v="15"/>
    <s v="Chris"/>
    <n v="1228.93"/>
  </r>
  <r>
    <x v="12"/>
    <s v="ORD10198"/>
    <s v="Customer 60"/>
    <x v="2"/>
    <x v="2"/>
    <s v="Notebook"/>
    <n v="1"/>
    <n v="486.83"/>
    <n v="5"/>
    <s v="Fatima"/>
    <n v="462.48849999999999"/>
  </r>
  <r>
    <x v="67"/>
    <s v="ORD10199"/>
    <s v="Customer 28"/>
    <x v="0"/>
    <x v="3"/>
    <s v="Mouse"/>
    <n v="4"/>
    <n v="513.63"/>
    <n v="0"/>
    <s v="David"/>
    <n v="2054.52"/>
  </r>
  <r>
    <x v="131"/>
    <s v="ORD10200"/>
    <s v="Customer 27"/>
    <x v="0"/>
    <x v="1"/>
    <s v="Webcam"/>
    <n v="4"/>
    <n v="740.62"/>
    <n v="0"/>
    <s v="David"/>
    <n v="2962.48"/>
  </r>
  <r>
    <x v="7"/>
    <s v="ORD10201"/>
    <s v="Customer 55"/>
    <x v="2"/>
    <x v="1"/>
    <s v="USB Drive"/>
    <n v="9"/>
    <n v="669.15"/>
    <n v="10"/>
    <s v="Alice"/>
    <n v="5420.1149999999998"/>
  </r>
  <r>
    <x v="58"/>
    <s v="ORD10202"/>
    <s v="Customer 12"/>
    <x v="2"/>
    <x v="0"/>
    <s v="Cabinet"/>
    <n v="5"/>
    <n v="808.51"/>
    <n v="15"/>
    <s v="Fatima"/>
    <n v="3436.1675"/>
  </r>
  <r>
    <x v="76"/>
    <s v="ORD10203"/>
    <s v="Customer 51"/>
    <x v="3"/>
    <x v="2"/>
    <s v="Printer Paper"/>
    <n v="2"/>
    <n v="452.17"/>
    <n v="10"/>
    <s v="Alice"/>
    <n v="813.90600000000006"/>
  </r>
  <r>
    <x v="132"/>
    <s v="ORD10204"/>
    <s v="Customer 66"/>
    <x v="0"/>
    <x v="1"/>
    <s v="Webcam"/>
    <n v="4"/>
    <n v="254.43"/>
    <n v="10"/>
    <s v="Chris"/>
    <n v="915.94800000000009"/>
  </r>
  <r>
    <x v="133"/>
    <s v="ORD10205"/>
    <s v="Customer 2"/>
    <x v="2"/>
    <x v="0"/>
    <s v="Chair"/>
    <n v="10"/>
    <n v="82.28"/>
    <n v="15"/>
    <s v="Alice"/>
    <n v="699.38"/>
  </r>
  <r>
    <x v="102"/>
    <s v="ORD10206"/>
    <s v="Customer 42"/>
    <x v="0"/>
    <x v="0"/>
    <s v="Chair"/>
    <n v="5"/>
    <n v="589.97"/>
    <n v="15"/>
    <s v="Fatima"/>
    <n v="2507.3725000000004"/>
  </r>
  <r>
    <x v="87"/>
    <s v="ORD10207"/>
    <s v="Customer 36"/>
    <x v="3"/>
    <x v="1"/>
    <s v="Headset"/>
    <n v="9"/>
    <n v="680.34"/>
    <n v="5"/>
    <s v="Chris"/>
    <n v="5816.9070000000002"/>
  </r>
  <r>
    <x v="2"/>
    <s v="ORD10208"/>
    <s v="Customer 67"/>
    <x v="2"/>
    <x v="0"/>
    <s v="Chair"/>
    <n v="2"/>
    <n v="257.3"/>
    <n v="15"/>
    <s v="Alice"/>
    <n v="437.41"/>
  </r>
  <r>
    <x v="104"/>
    <s v="ORD10209"/>
    <s v="Customer 7"/>
    <x v="3"/>
    <x v="0"/>
    <s v="Desk"/>
    <n v="4"/>
    <n v="814.94"/>
    <n v="10"/>
    <s v="Ben"/>
    <n v="2933.7840000000001"/>
  </r>
  <r>
    <x v="76"/>
    <s v="ORD10210"/>
    <s v="Customer 74"/>
    <x v="1"/>
    <x v="0"/>
    <s v="Desk"/>
    <n v="8"/>
    <n v="31.39"/>
    <n v="10"/>
    <s v="Ben"/>
    <n v="226.00800000000001"/>
  </r>
  <r>
    <x v="134"/>
    <s v="ORD10211"/>
    <s v="Customer 42"/>
    <x v="2"/>
    <x v="1"/>
    <s v="Webcam"/>
    <n v="7"/>
    <n v="752.63"/>
    <n v="15"/>
    <s v="David"/>
    <n v="4478.1484999999993"/>
  </r>
  <r>
    <x v="41"/>
    <s v="ORD10212"/>
    <s v="Customer 43"/>
    <x v="3"/>
    <x v="1"/>
    <s v="Headset"/>
    <n v="4"/>
    <n v="639.24"/>
    <n v="10"/>
    <s v="Ben"/>
    <n v="2301.2640000000001"/>
  </r>
  <r>
    <x v="24"/>
    <s v="ORD10213"/>
    <s v="Customer 80"/>
    <x v="2"/>
    <x v="0"/>
    <s v="Desk"/>
    <n v="10"/>
    <n v="464.6"/>
    <n v="5"/>
    <s v="Chris"/>
    <n v="4413.7"/>
  </r>
  <r>
    <x v="6"/>
    <s v="ORD10214"/>
    <s v="Customer 73"/>
    <x v="1"/>
    <x v="0"/>
    <s v="Chair"/>
    <n v="8"/>
    <n v="56.18"/>
    <n v="10"/>
    <s v="Alice"/>
    <n v="404.49599999999998"/>
  </r>
  <r>
    <x v="135"/>
    <s v="ORD10215"/>
    <s v="Customer 9"/>
    <x v="2"/>
    <x v="1"/>
    <s v="Webcam"/>
    <n v="2"/>
    <n v="743.72"/>
    <n v="0"/>
    <s v="Ben"/>
    <n v="1487.44"/>
  </r>
  <r>
    <x v="136"/>
    <s v="ORD10216"/>
    <s v="Customer 24"/>
    <x v="2"/>
    <x v="1"/>
    <s v="USB Drive"/>
    <n v="9"/>
    <n v="141.15"/>
    <n v="5"/>
    <s v="Fatima"/>
    <n v="1206.8325"/>
  </r>
  <r>
    <x v="96"/>
    <s v="ORD10217"/>
    <s v="Customer 31"/>
    <x v="1"/>
    <x v="0"/>
    <s v="Desk"/>
    <n v="2"/>
    <n v="13.79"/>
    <n v="15"/>
    <s v="Fatima"/>
    <n v="23.442999999999998"/>
  </r>
  <r>
    <x v="84"/>
    <s v="ORD10218"/>
    <s v="Customer 15"/>
    <x v="2"/>
    <x v="3"/>
    <s v="Laptop"/>
    <n v="1"/>
    <n v="821.28"/>
    <n v="10"/>
    <s v="Alice"/>
    <n v="739.15200000000004"/>
  </r>
  <r>
    <x v="100"/>
    <s v="ORD10219"/>
    <s v="Customer 24"/>
    <x v="0"/>
    <x v="2"/>
    <s v="Pen"/>
    <n v="8"/>
    <n v="907.26"/>
    <n v="5"/>
    <s v="Chris"/>
    <n v="6895.1759999999995"/>
  </r>
  <r>
    <x v="134"/>
    <s v="ORD10220"/>
    <s v="Customer 21"/>
    <x v="1"/>
    <x v="0"/>
    <s v="Desk"/>
    <n v="8"/>
    <n v="1013.73"/>
    <n v="15"/>
    <s v="Fatima"/>
    <n v="6893.3639999999996"/>
  </r>
  <r>
    <x v="137"/>
    <s v="ORD10221"/>
    <s v="Customer 50"/>
    <x v="3"/>
    <x v="1"/>
    <s v="Headset"/>
    <n v="7"/>
    <n v="1161.8"/>
    <n v="5"/>
    <s v="Emma"/>
    <n v="7725.9699999999993"/>
  </r>
  <r>
    <x v="138"/>
    <s v="ORD10222"/>
    <s v="Customer 75"/>
    <x v="2"/>
    <x v="2"/>
    <s v="Printer Paper"/>
    <n v="3"/>
    <n v="357.46"/>
    <n v="5"/>
    <s v="David"/>
    <n v="1018.7609999999999"/>
  </r>
  <r>
    <x v="101"/>
    <s v="ORD10223"/>
    <s v="Customer 3"/>
    <x v="1"/>
    <x v="0"/>
    <s v="Desk"/>
    <n v="7"/>
    <n v="523.88"/>
    <n v="15"/>
    <s v="Fatima"/>
    <n v="3117.0859999999998"/>
  </r>
  <r>
    <x v="139"/>
    <s v="ORD10224"/>
    <s v="Customer 69"/>
    <x v="3"/>
    <x v="0"/>
    <s v="Chair"/>
    <n v="7"/>
    <n v="491.11"/>
    <n v="0"/>
    <s v="Alice"/>
    <n v="3437.77"/>
  </r>
  <r>
    <x v="40"/>
    <s v="ORD10225"/>
    <s v="Customer 70"/>
    <x v="3"/>
    <x v="0"/>
    <s v="Cabinet"/>
    <n v="1"/>
    <n v="775.78"/>
    <n v="5"/>
    <s v="Emma"/>
    <n v="736.99099999999999"/>
  </r>
  <r>
    <x v="7"/>
    <s v="ORD10226"/>
    <s v="Customer 21"/>
    <x v="3"/>
    <x v="1"/>
    <s v="Headset"/>
    <n v="5"/>
    <n v="324"/>
    <n v="15"/>
    <s v="Emma"/>
    <n v="1377"/>
  </r>
  <r>
    <x v="95"/>
    <s v="ORD10227"/>
    <s v="Customer 44"/>
    <x v="3"/>
    <x v="0"/>
    <s v="Chair"/>
    <n v="9"/>
    <n v="811.44"/>
    <n v="15"/>
    <s v="David"/>
    <n v="6207.5160000000005"/>
  </r>
  <r>
    <x v="140"/>
    <s v="ORD10228"/>
    <s v="Customer 35"/>
    <x v="0"/>
    <x v="3"/>
    <s v="Monitor"/>
    <n v="9"/>
    <n v="1014.2"/>
    <n v="10"/>
    <s v="Emma"/>
    <n v="8215.02"/>
  </r>
  <r>
    <x v="97"/>
    <s v="ORD10229"/>
    <s v="Customer 28"/>
    <x v="1"/>
    <x v="3"/>
    <s v="Keyboard"/>
    <n v="5"/>
    <n v="947.47"/>
    <n v="15"/>
    <s v="David"/>
    <n v="4026.7475000000004"/>
  </r>
  <r>
    <x v="125"/>
    <s v="ORD10230"/>
    <s v="Customer 14"/>
    <x v="0"/>
    <x v="2"/>
    <s v="Notebook"/>
    <n v="9"/>
    <n v="149.75"/>
    <n v="15"/>
    <s v="Chris"/>
    <n v="1145.5874999999999"/>
  </r>
  <r>
    <x v="141"/>
    <s v="ORD10231"/>
    <s v="Customer 34"/>
    <x v="0"/>
    <x v="0"/>
    <s v="Desk"/>
    <n v="1"/>
    <n v="1023.52"/>
    <n v="5"/>
    <s v="David"/>
    <n v="972.34399999999994"/>
  </r>
  <r>
    <x v="124"/>
    <s v="ORD10232"/>
    <s v="Customer 79"/>
    <x v="2"/>
    <x v="0"/>
    <s v="Chair"/>
    <n v="9"/>
    <n v="826.29"/>
    <n v="10"/>
    <s v="Ben"/>
    <n v="6692.9489999999996"/>
  </r>
  <r>
    <x v="114"/>
    <s v="ORD10233"/>
    <s v="Customer 15"/>
    <x v="1"/>
    <x v="0"/>
    <s v="Desk"/>
    <n v="3"/>
    <n v="342.31"/>
    <n v="5"/>
    <s v="David"/>
    <n v="975.58349999999996"/>
  </r>
  <r>
    <x v="142"/>
    <s v="ORD10234"/>
    <s v="Customer 27"/>
    <x v="0"/>
    <x v="2"/>
    <s v="Printer Paper"/>
    <n v="5"/>
    <n v="484.27"/>
    <n v="0"/>
    <s v="Ben"/>
    <n v="2421.35"/>
  </r>
  <r>
    <x v="72"/>
    <s v="ORD10235"/>
    <s v="Customer 68"/>
    <x v="1"/>
    <x v="2"/>
    <s v="Pen"/>
    <n v="7"/>
    <n v="1177.26"/>
    <n v="15"/>
    <s v="Emma"/>
    <n v="7004.6969999999992"/>
  </r>
  <r>
    <x v="6"/>
    <s v="ORD10236"/>
    <s v="Customer 26"/>
    <x v="1"/>
    <x v="0"/>
    <s v="Desk"/>
    <n v="2"/>
    <n v="492.76"/>
    <n v="5"/>
    <s v="David"/>
    <n v="936.24399999999991"/>
  </r>
  <r>
    <x v="77"/>
    <s v="ORD10237"/>
    <s v="Customer 73"/>
    <x v="3"/>
    <x v="1"/>
    <s v="Webcam"/>
    <n v="6"/>
    <n v="451.74"/>
    <n v="15"/>
    <s v="David"/>
    <n v="2303.8739999999998"/>
  </r>
  <r>
    <x v="99"/>
    <s v="ORD10238"/>
    <s v="Customer 40"/>
    <x v="1"/>
    <x v="2"/>
    <s v="Printer Paper"/>
    <n v="10"/>
    <n v="650.41999999999996"/>
    <n v="0"/>
    <s v="Ben"/>
    <n v="6504.2"/>
  </r>
  <r>
    <x v="119"/>
    <s v="ORD10239"/>
    <s v="Customer 52"/>
    <x v="3"/>
    <x v="3"/>
    <s v="Monitor"/>
    <n v="9"/>
    <n v="116.9"/>
    <n v="5"/>
    <s v="David"/>
    <n v="999.49500000000012"/>
  </r>
  <r>
    <x v="32"/>
    <s v="ORD10240"/>
    <s v="Customer 71"/>
    <x v="2"/>
    <x v="3"/>
    <s v="Mouse"/>
    <n v="8"/>
    <n v="126.64"/>
    <n v="15"/>
    <s v="David"/>
    <n v="861.15199999999993"/>
  </r>
  <r>
    <x v="70"/>
    <s v="ORD10241"/>
    <s v="Customer 2"/>
    <x v="2"/>
    <x v="1"/>
    <s v="Headset"/>
    <n v="6"/>
    <n v="562.16999999999996"/>
    <n v="0"/>
    <s v="Chris"/>
    <n v="3373.0199999999995"/>
  </r>
  <r>
    <x v="89"/>
    <s v="ORD10242"/>
    <s v="Customer 62"/>
    <x v="2"/>
    <x v="1"/>
    <s v="USB Drive"/>
    <n v="6"/>
    <n v="898.24"/>
    <n v="0"/>
    <s v="Chris"/>
    <n v="5389.4400000000005"/>
  </r>
  <r>
    <x v="28"/>
    <s v="ORD10243"/>
    <s v="Customer 23"/>
    <x v="3"/>
    <x v="0"/>
    <s v="Cabinet"/>
    <n v="2"/>
    <n v="880.02"/>
    <n v="15"/>
    <s v="David"/>
    <n v="1496.0339999999999"/>
  </r>
  <r>
    <x v="143"/>
    <s v="ORD10244"/>
    <s v="Customer 61"/>
    <x v="3"/>
    <x v="3"/>
    <s v="Keyboard"/>
    <n v="6"/>
    <n v="1016.26"/>
    <n v="5"/>
    <s v="Emma"/>
    <n v="5792.6819999999989"/>
  </r>
  <r>
    <x v="81"/>
    <s v="ORD10245"/>
    <s v="Customer 8"/>
    <x v="3"/>
    <x v="0"/>
    <s v="Chair"/>
    <n v="5"/>
    <n v="1168.8599999999999"/>
    <n v="5"/>
    <s v="David"/>
    <n v="5552.0849999999991"/>
  </r>
  <r>
    <x v="144"/>
    <s v="ORD10246"/>
    <s v="Customer 39"/>
    <x v="2"/>
    <x v="1"/>
    <s v="Webcam"/>
    <n v="9"/>
    <n v="1124.96"/>
    <n v="0"/>
    <s v="Ben"/>
    <n v="10124.64"/>
  </r>
  <r>
    <x v="145"/>
    <s v="ORD10247"/>
    <s v="Customer 55"/>
    <x v="0"/>
    <x v="3"/>
    <s v="Monitor"/>
    <n v="9"/>
    <n v="522.04"/>
    <n v="10"/>
    <s v="Alice"/>
    <n v="4228.5239999999994"/>
  </r>
  <r>
    <x v="131"/>
    <s v="ORD10248"/>
    <s v="Customer 61"/>
    <x v="1"/>
    <x v="2"/>
    <s v="Notebook"/>
    <n v="7"/>
    <n v="290.63"/>
    <n v="5"/>
    <s v="Chris"/>
    <n v="1932.6894999999997"/>
  </r>
  <r>
    <x v="3"/>
    <s v="ORD10249"/>
    <s v="Customer 21"/>
    <x v="0"/>
    <x v="0"/>
    <s v="Chair"/>
    <n v="3"/>
    <n v="501.83"/>
    <n v="0"/>
    <s v="David"/>
    <n v="1505.49"/>
  </r>
  <r>
    <x v="118"/>
    <s v="ORD10250"/>
    <s v="Customer 6"/>
    <x v="0"/>
    <x v="2"/>
    <s v="Notebook"/>
    <n v="5"/>
    <n v="144.13999999999999"/>
    <n v="5"/>
    <s v="Chris"/>
    <n v="684.66499999999985"/>
  </r>
  <r>
    <x v="146"/>
    <s v="ORD10251"/>
    <s v="Customer 46"/>
    <x v="2"/>
    <x v="1"/>
    <s v="USB Drive"/>
    <n v="1"/>
    <n v="365.1"/>
    <n v="15"/>
    <s v="Chris"/>
    <n v="310.33500000000004"/>
  </r>
  <r>
    <x v="147"/>
    <s v="ORD10252"/>
    <s v="Customer 48"/>
    <x v="1"/>
    <x v="1"/>
    <s v="Headset"/>
    <n v="8"/>
    <n v="954.44"/>
    <n v="10"/>
    <s v="David"/>
    <n v="6871.9680000000008"/>
  </r>
  <r>
    <x v="26"/>
    <s v="ORD10253"/>
    <s v="Customer 39"/>
    <x v="3"/>
    <x v="0"/>
    <s v="Desk"/>
    <n v="7"/>
    <n v="616.80999999999995"/>
    <n v="0"/>
    <s v="David"/>
    <n v="4317.67"/>
  </r>
  <r>
    <x v="148"/>
    <s v="ORD10254"/>
    <s v="Customer 10"/>
    <x v="0"/>
    <x v="2"/>
    <s v="Printer Paper"/>
    <n v="2"/>
    <n v="623.16"/>
    <n v="0"/>
    <s v="Chris"/>
    <n v="1246.32"/>
  </r>
  <r>
    <x v="149"/>
    <s v="ORD10255"/>
    <s v="Customer 14"/>
    <x v="3"/>
    <x v="2"/>
    <s v="Printer Paper"/>
    <n v="8"/>
    <n v="492.34"/>
    <n v="15"/>
    <s v="David"/>
    <n v="3347.9119999999998"/>
  </r>
  <r>
    <x v="55"/>
    <s v="ORD10256"/>
    <s v="Customer 76"/>
    <x v="2"/>
    <x v="2"/>
    <s v="Pen"/>
    <n v="5"/>
    <n v="154.47999999999999"/>
    <n v="5"/>
    <s v="Emma"/>
    <n v="733.78"/>
  </r>
  <r>
    <x v="117"/>
    <s v="ORD10257"/>
    <s v="Customer 45"/>
    <x v="0"/>
    <x v="0"/>
    <s v="Chair"/>
    <n v="5"/>
    <n v="1036.03"/>
    <n v="10"/>
    <s v="Ben"/>
    <n v="4662.1350000000002"/>
  </r>
  <r>
    <x v="74"/>
    <s v="ORD10258"/>
    <s v="Customer 42"/>
    <x v="0"/>
    <x v="0"/>
    <s v="Chair"/>
    <n v="2"/>
    <n v="454.28"/>
    <n v="15"/>
    <s v="Chris"/>
    <n v="772.27599999999995"/>
  </r>
  <r>
    <x v="139"/>
    <s v="ORD10259"/>
    <s v="Customer 68"/>
    <x v="0"/>
    <x v="2"/>
    <s v="Pen"/>
    <n v="3"/>
    <n v="927.65"/>
    <n v="5"/>
    <s v="Chris"/>
    <n v="2643.8024999999998"/>
  </r>
  <r>
    <x v="51"/>
    <s v="ORD10260"/>
    <s v="Customer 1"/>
    <x v="3"/>
    <x v="0"/>
    <s v="Cabinet"/>
    <n v="1"/>
    <n v="639.85"/>
    <n v="0"/>
    <s v="Chris"/>
    <n v="639.85"/>
  </r>
  <r>
    <x v="27"/>
    <s v="ORD10261"/>
    <s v="Customer 68"/>
    <x v="2"/>
    <x v="0"/>
    <s v="Desk"/>
    <n v="1"/>
    <n v="886.85"/>
    <n v="10"/>
    <s v="David"/>
    <n v="798.16500000000008"/>
  </r>
  <r>
    <x v="150"/>
    <s v="ORD10262"/>
    <s v="Customer 75"/>
    <x v="3"/>
    <x v="3"/>
    <s v="Mouse"/>
    <n v="4"/>
    <n v="366.28"/>
    <n v="10"/>
    <s v="Fatima"/>
    <n v="1318.6079999999999"/>
  </r>
  <r>
    <x v="135"/>
    <s v="ORD10263"/>
    <s v="Customer 68"/>
    <x v="2"/>
    <x v="1"/>
    <s v="USB Drive"/>
    <n v="1"/>
    <n v="94.27"/>
    <n v="5"/>
    <s v="Chris"/>
    <n v="89.556499999999986"/>
  </r>
  <r>
    <x v="151"/>
    <s v="ORD10264"/>
    <s v="Customer 76"/>
    <x v="2"/>
    <x v="1"/>
    <s v="Headset"/>
    <n v="7"/>
    <n v="859.86"/>
    <n v="15"/>
    <s v="David"/>
    <n v="5116.1670000000004"/>
  </r>
  <r>
    <x v="107"/>
    <s v="ORD10265"/>
    <s v="Customer 13"/>
    <x v="1"/>
    <x v="3"/>
    <s v="Laptop"/>
    <n v="10"/>
    <n v="301.04000000000002"/>
    <n v="10"/>
    <s v="Alice"/>
    <n v="2709.36"/>
  </r>
  <r>
    <x v="42"/>
    <s v="ORD10266"/>
    <s v="Customer 28"/>
    <x v="3"/>
    <x v="2"/>
    <s v="Pen"/>
    <n v="5"/>
    <n v="808.84"/>
    <n v="15"/>
    <s v="David"/>
    <n v="3437.57"/>
  </r>
  <r>
    <x v="111"/>
    <s v="ORD10267"/>
    <s v="Customer 60"/>
    <x v="0"/>
    <x v="1"/>
    <s v="Webcam"/>
    <n v="1"/>
    <n v="498.47"/>
    <n v="5"/>
    <s v="Alice"/>
    <n v="473.54649999999998"/>
  </r>
  <r>
    <x v="97"/>
    <s v="ORD10268"/>
    <s v="Customer 40"/>
    <x v="2"/>
    <x v="0"/>
    <s v="Cabinet"/>
    <n v="6"/>
    <n v="931.82"/>
    <n v="5"/>
    <s v="Fatima"/>
    <n v="5311.3739999999998"/>
  </r>
  <r>
    <x v="135"/>
    <s v="ORD10269"/>
    <s v="Customer 6"/>
    <x v="2"/>
    <x v="3"/>
    <s v="Keyboard"/>
    <n v="3"/>
    <n v="438.17"/>
    <n v="0"/>
    <s v="Fatima"/>
    <n v="1314.51"/>
  </r>
  <r>
    <x v="73"/>
    <s v="ORD10270"/>
    <s v="Customer 23"/>
    <x v="2"/>
    <x v="2"/>
    <s v="Printer Paper"/>
    <n v="9"/>
    <n v="161.24"/>
    <n v="10"/>
    <s v="Alice"/>
    <n v="1306.0440000000001"/>
  </r>
  <r>
    <x v="11"/>
    <s v="ORD10271"/>
    <s v="Customer 26"/>
    <x v="2"/>
    <x v="1"/>
    <s v="USB Drive"/>
    <n v="7"/>
    <n v="84.12"/>
    <n v="0"/>
    <s v="Alice"/>
    <n v="588.84"/>
  </r>
  <r>
    <x v="105"/>
    <s v="ORD10272"/>
    <s v="Customer 23"/>
    <x v="0"/>
    <x v="0"/>
    <s v="Desk"/>
    <n v="10"/>
    <n v="201.65"/>
    <n v="0"/>
    <s v="Emma"/>
    <n v="2016.5"/>
  </r>
  <r>
    <x v="152"/>
    <s v="ORD10273"/>
    <s v="Customer 18"/>
    <x v="3"/>
    <x v="2"/>
    <s v="Pen"/>
    <n v="5"/>
    <n v="291.52999999999997"/>
    <n v="15"/>
    <s v="David"/>
    <n v="1239.0024999999998"/>
  </r>
  <r>
    <x v="67"/>
    <s v="ORD10274"/>
    <s v="Customer 79"/>
    <x v="3"/>
    <x v="0"/>
    <s v="Desk"/>
    <n v="1"/>
    <n v="816.42"/>
    <n v="5"/>
    <s v="David"/>
    <n v="775.59899999999993"/>
  </r>
  <r>
    <x v="98"/>
    <s v="ORD10275"/>
    <s v="Customer 6"/>
    <x v="0"/>
    <x v="1"/>
    <s v="Headset"/>
    <n v="3"/>
    <n v="288.08999999999997"/>
    <n v="0"/>
    <s v="Fatima"/>
    <n v="864.27"/>
  </r>
  <r>
    <x v="72"/>
    <s v="ORD10276"/>
    <s v="Customer 67"/>
    <x v="0"/>
    <x v="0"/>
    <s v="Desk"/>
    <n v="7"/>
    <n v="369.72"/>
    <n v="5"/>
    <s v="Fatima"/>
    <n v="2458.6379999999999"/>
  </r>
  <r>
    <x v="153"/>
    <s v="ORD10277"/>
    <s v="Customer 51"/>
    <x v="1"/>
    <x v="2"/>
    <s v="Pen"/>
    <n v="2"/>
    <n v="1006.04"/>
    <n v="10"/>
    <s v="David"/>
    <n v="1810.8720000000001"/>
  </r>
  <r>
    <x v="154"/>
    <s v="ORD10278"/>
    <s v="Customer 61"/>
    <x v="2"/>
    <x v="1"/>
    <s v="USB Drive"/>
    <n v="7"/>
    <n v="626.6"/>
    <n v="0"/>
    <s v="Fatima"/>
    <n v="4386.2"/>
  </r>
  <r>
    <x v="155"/>
    <s v="ORD10279"/>
    <s v="Customer 67"/>
    <x v="2"/>
    <x v="1"/>
    <s v="Headset"/>
    <n v="5"/>
    <n v="12.82"/>
    <n v="0"/>
    <s v="Ben"/>
    <n v="64.099999999999994"/>
  </r>
  <r>
    <x v="62"/>
    <s v="ORD10280"/>
    <s v="Customer 63"/>
    <x v="2"/>
    <x v="1"/>
    <s v="Webcam"/>
    <n v="4"/>
    <n v="535.25"/>
    <n v="10"/>
    <s v="David"/>
    <n v="1926.9"/>
  </r>
  <r>
    <x v="156"/>
    <s v="ORD10281"/>
    <s v="Customer 9"/>
    <x v="2"/>
    <x v="2"/>
    <s v="Pen"/>
    <n v="5"/>
    <n v="868.81"/>
    <n v="0"/>
    <s v="Alice"/>
    <n v="4344.0499999999993"/>
  </r>
  <r>
    <x v="157"/>
    <s v="ORD10282"/>
    <s v="Customer 49"/>
    <x v="3"/>
    <x v="3"/>
    <s v="Mouse"/>
    <n v="3"/>
    <n v="342.28"/>
    <n v="0"/>
    <s v="Emma"/>
    <n v="1026.8399999999999"/>
  </r>
  <r>
    <x v="106"/>
    <s v="ORD10283"/>
    <s v="Customer 59"/>
    <x v="2"/>
    <x v="2"/>
    <s v="Pen"/>
    <n v="8"/>
    <n v="1126.96"/>
    <n v="10"/>
    <s v="Emma"/>
    <n v="8114.1120000000001"/>
  </r>
  <r>
    <x v="100"/>
    <s v="ORD10284"/>
    <s v="Customer 12"/>
    <x v="1"/>
    <x v="2"/>
    <s v="Notebook"/>
    <n v="2"/>
    <n v="1014.36"/>
    <n v="0"/>
    <s v="Emma"/>
    <n v="2028.72"/>
  </r>
  <r>
    <x v="1"/>
    <s v="ORD10285"/>
    <s v="Customer 16"/>
    <x v="2"/>
    <x v="0"/>
    <s v="Cabinet"/>
    <n v="8"/>
    <n v="148.46"/>
    <n v="15"/>
    <s v="Fatima"/>
    <n v="1009.528"/>
  </r>
  <r>
    <x v="124"/>
    <s v="ORD10286"/>
    <s v="Customer 37"/>
    <x v="2"/>
    <x v="3"/>
    <s v="Monitor"/>
    <n v="1"/>
    <n v="500.98"/>
    <n v="15"/>
    <s v="Alice"/>
    <n v="425.83300000000003"/>
  </r>
  <r>
    <x v="92"/>
    <s v="ORD10287"/>
    <s v="Customer 68"/>
    <x v="0"/>
    <x v="2"/>
    <s v="Pen"/>
    <n v="4"/>
    <n v="1057.52"/>
    <n v="5"/>
    <s v="Ben"/>
    <n v="4018.5759999999996"/>
  </r>
  <r>
    <x v="19"/>
    <s v="ORD10288"/>
    <s v="Customer 62"/>
    <x v="3"/>
    <x v="1"/>
    <s v="Headset"/>
    <n v="2"/>
    <n v="889.37"/>
    <n v="0"/>
    <s v="David"/>
    <n v="1778.74"/>
  </r>
  <r>
    <x v="9"/>
    <s v="ORD10289"/>
    <s v="Customer 31"/>
    <x v="1"/>
    <x v="3"/>
    <s v="Mouse"/>
    <n v="4"/>
    <n v="984.2"/>
    <n v="0"/>
    <s v="Chris"/>
    <n v="3936.8"/>
  </r>
  <r>
    <x v="66"/>
    <s v="ORD10290"/>
    <s v="Customer 70"/>
    <x v="3"/>
    <x v="0"/>
    <s v="Cabinet"/>
    <n v="4"/>
    <n v="462.54"/>
    <n v="0"/>
    <s v="Alice"/>
    <n v="1850.16"/>
  </r>
  <r>
    <x v="83"/>
    <s v="ORD10291"/>
    <s v="Customer 78"/>
    <x v="0"/>
    <x v="1"/>
    <s v="Headset"/>
    <n v="3"/>
    <n v="1080.1500000000001"/>
    <n v="0"/>
    <s v="Alice"/>
    <n v="3240.4500000000003"/>
  </r>
  <r>
    <x v="158"/>
    <s v="ORD10292"/>
    <s v="Customer 11"/>
    <x v="0"/>
    <x v="0"/>
    <s v="Cabinet"/>
    <n v="2"/>
    <n v="237.73"/>
    <n v="5"/>
    <s v="Emma"/>
    <n v="451.68699999999995"/>
  </r>
  <r>
    <x v="6"/>
    <s v="ORD10293"/>
    <s v="Customer 65"/>
    <x v="3"/>
    <x v="2"/>
    <s v="Notebook"/>
    <n v="3"/>
    <n v="1199.42"/>
    <n v="10"/>
    <s v="Ben"/>
    <n v="3238.4340000000002"/>
  </r>
  <r>
    <x v="5"/>
    <s v="ORD10294"/>
    <s v="Customer 2"/>
    <x v="1"/>
    <x v="3"/>
    <s v="Keyboard"/>
    <n v="6"/>
    <n v="681.46"/>
    <n v="0"/>
    <s v="Fatima"/>
    <n v="4088.76"/>
  </r>
  <r>
    <x v="18"/>
    <s v="ORD10295"/>
    <s v="Customer 80"/>
    <x v="0"/>
    <x v="3"/>
    <s v="Keyboard"/>
    <n v="6"/>
    <n v="614.08000000000004"/>
    <n v="15"/>
    <s v="Alice"/>
    <n v="3131.8080000000004"/>
  </r>
  <r>
    <x v="64"/>
    <s v="ORD10296"/>
    <s v="Customer 57"/>
    <x v="3"/>
    <x v="3"/>
    <s v="Laptop"/>
    <n v="1"/>
    <n v="797.54"/>
    <n v="15"/>
    <s v="David"/>
    <n v="677.90899999999999"/>
  </r>
  <r>
    <x v="10"/>
    <s v="ORD10297"/>
    <s v="Customer 77"/>
    <x v="2"/>
    <x v="1"/>
    <s v="Headset"/>
    <n v="9"/>
    <n v="457.15"/>
    <n v="0"/>
    <s v="Chris"/>
    <n v="4114.3499999999995"/>
  </r>
  <r>
    <x v="77"/>
    <s v="ORD10298"/>
    <s v="Customer 43"/>
    <x v="1"/>
    <x v="2"/>
    <s v="Pen"/>
    <n v="3"/>
    <n v="321.02"/>
    <n v="15"/>
    <s v="Emma"/>
    <n v="818.60099999999989"/>
  </r>
  <r>
    <x v="96"/>
    <s v="ORD10299"/>
    <s v="Customer 14"/>
    <x v="0"/>
    <x v="0"/>
    <s v="Chair"/>
    <n v="6"/>
    <n v="435.39"/>
    <n v="5"/>
    <s v="David"/>
    <n v="2481.723"/>
  </r>
  <r>
    <x v="159"/>
    <s v="ORD10300"/>
    <s v="Customer 1"/>
    <x v="0"/>
    <x v="1"/>
    <s v="Headset"/>
    <n v="6"/>
    <n v="409.85"/>
    <n v="0"/>
    <s v="Chris"/>
    <n v="2459.1000000000004"/>
  </r>
  <r>
    <x v="110"/>
    <s v="ORD10301"/>
    <s v="Customer 3"/>
    <x v="0"/>
    <x v="2"/>
    <s v="Printer Paper"/>
    <n v="8"/>
    <n v="1177.18"/>
    <n v="0"/>
    <s v="Fatima"/>
    <n v="9417.44"/>
  </r>
  <r>
    <x v="3"/>
    <s v="ORD10302"/>
    <s v="Customer 61"/>
    <x v="2"/>
    <x v="3"/>
    <s v="Mouse"/>
    <n v="2"/>
    <n v="685.19"/>
    <n v="0"/>
    <s v="David"/>
    <n v="1370.38"/>
  </r>
  <r>
    <x v="53"/>
    <s v="ORD10303"/>
    <s v="Customer 63"/>
    <x v="0"/>
    <x v="3"/>
    <s v="Laptop"/>
    <n v="10"/>
    <n v="345.55"/>
    <n v="10"/>
    <s v="Fatima"/>
    <n v="3109.9500000000003"/>
  </r>
  <r>
    <x v="79"/>
    <s v="ORD10304"/>
    <s v="Customer 76"/>
    <x v="2"/>
    <x v="0"/>
    <s v="Desk"/>
    <n v="9"/>
    <n v="654.29"/>
    <n v="5"/>
    <s v="Ben"/>
    <n v="5594.1794999999993"/>
  </r>
  <r>
    <x v="38"/>
    <s v="ORD10305"/>
    <s v="Customer 35"/>
    <x v="1"/>
    <x v="3"/>
    <s v="Mouse"/>
    <n v="2"/>
    <n v="569.27"/>
    <n v="15"/>
    <s v="David"/>
    <n v="967.7589999999999"/>
  </r>
  <r>
    <x v="160"/>
    <s v="ORD10306"/>
    <s v="Customer 16"/>
    <x v="3"/>
    <x v="2"/>
    <s v="Printer Paper"/>
    <n v="4"/>
    <n v="741.89"/>
    <n v="5"/>
    <s v="Emma"/>
    <n v="2819.1819999999998"/>
  </r>
  <r>
    <x v="161"/>
    <s v="ORD10307"/>
    <s v="Customer 38"/>
    <x v="2"/>
    <x v="1"/>
    <s v="Webcam"/>
    <n v="10"/>
    <n v="136.41999999999999"/>
    <n v="10"/>
    <s v="Fatima"/>
    <n v="1227.78"/>
  </r>
  <r>
    <x v="22"/>
    <s v="ORD10308"/>
    <s v="Customer 3"/>
    <x v="0"/>
    <x v="0"/>
    <s v="Desk"/>
    <n v="7"/>
    <n v="1156.69"/>
    <n v="0"/>
    <s v="Fatima"/>
    <n v="8096.83"/>
  </r>
  <r>
    <x v="37"/>
    <s v="ORD10309"/>
    <s v="Customer 13"/>
    <x v="3"/>
    <x v="0"/>
    <s v="Chair"/>
    <n v="3"/>
    <n v="650.9"/>
    <n v="10"/>
    <s v="Ben"/>
    <n v="1757.4299999999998"/>
  </r>
  <r>
    <x v="22"/>
    <s v="ORD10310"/>
    <s v="Customer 11"/>
    <x v="2"/>
    <x v="2"/>
    <s v="Notebook"/>
    <n v="5"/>
    <n v="449.86"/>
    <n v="0"/>
    <s v="David"/>
    <n v="2249.3000000000002"/>
  </r>
  <r>
    <x v="89"/>
    <s v="ORD10311"/>
    <s v="Customer 69"/>
    <x v="1"/>
    <x v="0"/>
    <s v="Desk"/>
    <n v="10"/>
    <n v="419.22"/>
    <n v="0"/>
    <s v="Fatima"/>
    <n v="4192.2000000000007"/>
  </r>
  <r>
    <x v="160"/>
    <s v="ORD10312"/>
    <s v="Customer 60"/>
    <x v="0"/>
    <x v="2"/>
    <s v="Printer Paper"/>
    <n v="3"/>
    <n v="575.66999999999996"/>
    <n v="5"/>
    <s v="Fatima"/>
    <n v="1640.6594999999998"/>
  </r>
  <r>
    <x v="159"/>
    <s v="ORD10313"/>
    <s v="Customer 5"/>
    <x v="3"/>
    <x v="1"/>
    <s v="Webcam"/>
    <n v="3"/>
    <n v="882.39"/>
    <n v="10"/>
    <s v="David"/>
    <n v="2382.453"/>
  </r>
  <r>
    <x v="114"/>
    <s v="ORD10314"/>
    <s v="Customer 79"/>
    <x v="0"/>
    <x v="3"/>
    <s v="Mouse"/>
    <n v="4"/>
    <n v="308.89"/>
    <n v="5"/>
    <s v="David"/>
    <n v="1173.7819999999999"/>
  </r>
  <r>
    <x v="95"/>
    <s v="ORD10315"/>
    <s v="Customer 23"/>
    <x v="2"/>
    <x v="2"/>
    <s v="Notebook"/>
    <n v="3"/>
    <n v="936.51"/>
    <n v="5"/>
    <s v="Emma"/>
    <n v="2669.0534999999995"/>
  </r>
  <r>
    <x v="162"/>
    <s v="ORD10316"/>
    <s v="Customer 72"/>
    <x v="0"/>
    <x v="1"/>
    <s v="USB Drive"/>
    <n v="7"/>
    <n v="86.83"/>
    <n v="15"/>
    <s v="Ben"/>
    <n v="516.63849999999991"/>
  </r>
  <r>
    <x v="37"/>
    <s v="ORD10317"/>
    <s v="Customer 68"/>
    <x v="2"/>
    <x v="2"/>
    <s v="Pen"/>
    <n v="9"/>
    <n v="547.99"/>
    <n v="10"/>
    <s v="David"/>
    <n v="4438.7190000000001"/>
  </r>
  <r>
    <x v="21"/>
    <s v="ORD10318"/>
    <s v="Customer 37"/>
    <x v="1"/>
    <x v="2"/>
    <s v="Printer Paper"/>
    <n v="8"/>
    <n v="1079.3599999999999"/>
    <n v="5"/>
    <s v="Alice"/>
    <n v="8203.1359999999986"/>
  </r>
  <r>
    <x v="163"/>
    <s v="ORD10319"/>
    <s v="Customer 40"/>
    <x v="1"/>
    <x v="3"/>
    <s v="Monitor"/>
    <n v="8"/>
    <n v="152.5"/>
    <n v="0"/>
    <s v="Fatima"/>
    <n v="1220"/>
  </r>
  <r>
    <x v="66"/>
    <s v="ORD10320"/>
    <s v="Customer 35"/>
    <x v="2"/>
    <x v="3"/>
    <s v="Laptop"/>
    <n v="2"/>
    <n v="36.79"/>
    <n v="10"/>
    <s v="Fatima"/>
    <n v="66.221999999999994"/>
  </r>
  <r>
    <x v="158"/>
    <s v="ORD10321"/>
    <s v="Customer 68"/>
    <x v="2"/>
    <x v="2"/>
    <s v="Notebook"/>
    <n v="4"/>
    <n v="114.72"/>
    <n v="15"/>
    <s v="Alice"/>
    <n v="390.048"/>
  </r>
  <r>
    <x v="73"/>
    <s v="ORD10322"/>
    <s v="Customer 32"/>
    <x v="2"/>
    <x v="2"/>
    <s v="Pen"/>
    <n v="3"/>
    <n v="610.01"/>
    <n v="5"/>
    <s v="Emma"/>
    <n v="1738.5284999999999"/>
  </r>
  <r>
    <x v="55"/>
    <s v="ORD10323"/>
    <s v="Customer 24"/>
    <x v="3"/>
    <x v="3"/>
    <s v="Monitor"/>
    <n v="5"/>
    <n v="381.65"/>
    <n v="15"/>
    <s v="Fatima"/>
    <n v="1622.0125"/>
  </r>
  <r>
    <x v="164"/>
    <s v="ORD10324"/>
    <s v="Customer 15"/>
    <x v="0"/>
    <x v="1"/>
    <s v="USB Drive"/>
    <n v="9"/>
    <n v="961.56"/>
    <n v="15"/>
    <s v="Ben"/>
    <n v="7355.9339999999993"/>
  </r>
  <r>
    <x v="100"/>
    <s v="ORD10325"/>
    <s v="Customer 69"/>
    <x v="2"/>
    <x v="2"/>
    <s v="Notebook"/>
    <n v="6"/>
    <n v="406.69"/>
    <n v="10"/>
    <s v="Ben"/>
    <n v="2196.1259999999997"/>
  </r>
  <r>
    <x v="165"/>
    <s v="ORD10326"/>
    <s v="Customer 68"/>
    <x v="0"/>
    <x v="2"/>
    <s v="Printer Paper"/>
    <n v="8"/>
    <n v="623.41"/>
    <n v="0"/>
    <s v="Emma"/>
    <n v="4987.28"/>
  </r>
  <r>
    <x v="29"/>
    <s v="ORD10327"/>
    <s v="Customer 4"/>
    <x v="0"/>
    <x v="0"/>
    <s v="Cabinet"/>
    <n v="8"/>
    <n v="170.87"/>
    <n v="5"/>
    <s v="Alice"/>
    <n v="1298.6120000000001"/>
  </r>
  <r>
    <x v="125"/>
    <s v="ORD10328"/>
    <s v="Customer 59"/>
    <x v="0"/>
    <x v="3"/>
    <s v="Laptop"/>
    <n v="6"/>
    <n v="315.61"/>
    <n v="15"/>
    <s v="Chris"/>
    <n v="1609.6110000000001"/>
  </r>
  <r>
    <x v="11"/>
    <s v="ORD10329"/>
    <s v="Customer 9"/>
    <x v="1"/>
    <x v="1"/>
    <s v="Headset"/>
    <n v="1"/>
    <n v="698.53"/>
    <n v="5"/>
    <s v="Emma"/>
    <n v="663.60349999999994"/>
  </r>
  <r>
    <x v="111"/>
    <s v="ORD10330"/>
    <s v="Customer 61"/>
    <x v="2"/>
    <x v="1"/>
    <s v="USB Drive"/>
    <n v="8"/>
    <n v="144.56"/>
    <n v="0"/>
    <s v="Ben"/>
    <n v="1156.48"/>
  </r>
  <r>
    <x v="56"/>
    <s v="ORD10331"/>
    <s v="Customer 29"/>
    <x v="2"/>
    <x v="1"/>
    <s v="Webcam"/>
    <n v="4"/>
    <n v="709.88"/>
    <n v="5"/>
    <s v="Fatima"/>
    <n v="2697.5439999999999"/>
  </r>
  <r>
    <x v="11"/>
    <s v="ORD10332"/>
    <s v="Customer 79"/>
    <x v="0"/>
    <x v="1"/>
    <s v="Headset"/>
    <n v="9"/>
    <n v="437.08"/>
    <n v="10"/>
    <s v="David"/>
    <n v="3540.348"/>
  </r>
  <r>
    <x v="151"/>
    <s v="ORD10333"/>
    <s v="Customer 24"/>
    <x v="3"/>
    <x v="1"/>
    <s v="Webcam"/>
    <n v="6"/>
    <n v="600.52"/>
    <n v="15"/>
    <s v="Alice"/>
    <n v="3062.652"/>
  </r>
  <r>
    <x v="15"/>
    <s v="ORD10334"/>
    <s v="Customer 68"/>
    <x v="0"/>
    <x v="1"/>
    <s v="Headset"/>
    <n v="5"/>
    <n v="451.93"/>
    <n v="0"/>
    <s v="Fatima"/>
    <n v="2259.65"/>
  </r>
  <r>
    <x v="147"/>
    <s v="ORD10335"/>
    <s v="Customer 62"/>
    <x v="1"/>
    <x v="2"/>
    <s v="Pen"/>
    <n v="9"/>
    <n v="293.7"/>
    <n v="10"/>
    <s v="David"/>
    <n v="2378.9699999999998"/>
  </r>
  <r>
    <x v="9"/>
    <s v="ORD10336"/>
    <s v="Customer 3"/>
    <x v="0"/>
    <x v="1"/>
    <s v="Headset"/>
    <n v="6"/>
    <n v="762.96"/>
    <n v="0"/>
    <s v="Ben"/>
    <n v="4577.76"/>
  </r>
  <r>
    <x v="140"/>
    <s v="ORD10337"/>
    <s v="Customer 17"/>
    <x v="3"/>
    <x v="2"/>
    <s v="Printer Paper"/>
    <n v="8"/>
    <n v="62.56"/>
    <n v="10"/>
    <s v="Fatima"/>
    <n v="450.43200000000002"/>
  </r>
  <r>
    <x v="156"/>
    <s v="ORD10338"/>
    <s v="Customer 61"/>
    <x v="3"/>
    <x v="1"/>
    <s v="Headset"/>
    <n v="9"/>
    <n v="620.05999999999995"/>
    <n v="15"/>
    <s v="Ben"/>
    <n v="4743.4589999999989"/>
  </r>
  <r>
    <x v="110"/>
    <s v="ORD10339"/>
    <s v="Customer 29"/>
    <x v="1"/>
    <x v="1"/>
    <s v="Webcam"/>
    <n v="9"/>
    <n v="669.36"/>
    <n v="0"/>
    <s v="Ben"/>
    <n v="6024.24"/>
  </r>
  <r>
    <x v="166"/>
    <s v="ORD10340"/>
    <s v="Customer 50"/>
    <x v="0"/>
    <x v="0"/>
    <s v="Chair"/>
    <n v="7"/>
    <n v="1136.8900000000001"/>
    <n v="5"/>
    <s v="Fatima"/>
    <n v="7560.3185000000003"/>
  </r>
  <r>
    <x v="25"/>
    <s v="ORD10341"/>
    <s v="Customer 31"/>
    <x v="1"/>
    <x v="0"/>
    <s v="Desk"/>
    <n v="4"/>
    <n v="497.48"/>
    <n v="10"/>
    <s v="Fatima"/>
    <n v="1790.9280000000001"/>
  </r>
  <r>
    <x v="11"/>
    <s v="ORD10342"/>
    <s v="Customer 1"/>
    <x v="2"/>
    <x v="0"/>
    <s v="Cabinet"/>
    <n v="4"/>
    <n v="971.78"/>
    <n v="5"/>
    <s v="Ben"/>
    <n v="3692.7639999999997"/>
  </r>
  <r>
    <x v="84"/>
    <s v="ORD10343"/>
    <s v="Customer 56"/>
    <x v="0"/>
    <x v="2"/>
    <s v="Notebook"/>
    <n v="2"/>
    <n v="95.82"/>
    <n v="10"/>
    <s v="Fatima"/>
    <n v="172.476"/>
  </r>
  <r>
    <x v="38"/>
    <s v="ORD10344"/>
    <s v="Customer 8"/>
    <x v="1"/>
    <x v="0"/>
    <s v="Desk"/>
    <n v="8"/>
    <n v="955.17"/>
    <n v="5"/>
    <s v="Ben"/>
    <n v="7259.2919999999995"/>
  </r>
  <r>
    <x v="7"/>
    <s v="ORD10345"/>
    <s v="Customer 73"/>
    <x v="3"/>
    <x v="3"/>
    <s v="Laptop"/>
    <n v="2"/>
    <n v="180.58"/>
    <n v="15"/>
    <s v="Ben"/>
    <n v="306.98599999999999"/>
  </r>
  <r>
    <x v="166"/>
    <s v="ORD10346"/>
    <s v="Customer 20"/>
    <x v="0"/>
    <x v="2"/>
    <s v="Printer Paper"/>
    <n v="10"/>
    <n v="222.66"/>
    <n v="15"/>
    <s v="Fatima"/>
    <n v="1892.61"/>
  </r>
  <r>
    <x v="51"/>
    <s v="ORD10347"/>
    <s v="Customer 25"/>
    <x v="0"/>
    <x v="0"/>
    <s v="Desk"/>
    <n v="8"/>
    <n v="74.27"/>
    <n v="10"/>
    <s v="Fatima"/>
    <n v="534.74400000000003"/>
  </r>
  <r>
    <x v="167"/>
    <s v="ORD10348"/>
    <s v="Customer 33"/>
    <x v="2"/>
    <x v="1"/>
    <s v="USB Drive"/>
    <n v="10"/>
    <n v="503.99"/>
    <n v="5"/>
    <s v="Alice"/>
    <n v="4787.9049999999997"/>
  </r>
  <r>
    <x v="51"/>
    <s v="ORD10349"/>
    <s v="Customer 23"/>
    <x v="2"/>
    <x v="1"/>
    <s v="Headset"/>
    <n v="10"/>
    <n v="684.93"/>
    <n v="0"/>
    <s v="Alice"/>
    <n v="6849.2999999999993"/>
  </r>
  <r>
    <x v="168"/>
    <s v="ORD10350"/>
    <s v="Customer 19"/>
    <x v="0"/>
    <x v="0"/>
    <s v="Cabinet"/>
    <n v="2"/>
    <n v="912.6"/>
    <n v="10"/>
    <s v="Alice"/>
    <n v="1642.68"/>
  </r>
  <r>
    <x v="122"/>
    <s v="ORD10351"/>
    <s v="Customer 65"/>
    <x v="3"/>
    <x v="3"/>
    <s v="Laptop"/>
    <n v="5"/>
    <n v="1010.71"/>
    <n v="5"/>
    <s v="Alice"/>
    <n v="4800.8725000000004"/>
  </r>
  <r>
    <x v="76"/>
    <s v="ORD10352"/>
    <s v="Customer 72"/>
    <x v="0"/>
    <x v="3"/>
    <s v="Mouse"/>
    <n v="8"/>
    <n v="983.86"/>
    <n v="10"/>
    <s v="Ben"/>
    <n v="7083.7920000000004"/>
  </r>
  <r>
    <x v="18"/>
    <s v="ORD10353"/>
    <s v="Customer 1"/>
    <x v="0"/>
    <x v="2"/>
    <s v="Pen"/>
    <n v="6"/>
    <n v="1125.9100000000001"/>
    <n v="10"/>
    <s v="Ben"/>
    <n v="6079.9140000000007"/>
  </r>
  <r>
    <x v="46"/>
    <s v="ORD10354"/>
    <s v="Customer 12"/>
    <x v="2"/>
    <x v="3"/>
    <s v="Mouse"/>
    <n v="1"/>
    <n v="179.27"/>
    <n v="5"/>
    <s v="David"/>
    <n v="170.3065"/>
  </r>
  <r>
    <x v="139"/>
    <s v="ORD10355"/>
    <s v="Customer 62"/>
    <x v="2"/>
    <x v="1"/>
    <s v="Headset"/>
    <n v="9"/>
    <n v="22.63"/>
    <n v="15"/>
    <s v="Ben"/>
    <n v="173.11949999999999"/>
  </r>
  <r>
    <x v="81"/>
    <s v="ORD10356"/>
    <s v="Customer 56"/>
    <x v="1"/>
    <x v="2"/>
    <s v="Notebook"/>
    <n v="6"/>
    <n v="725.45"/>
    <n v="0"/>
    <s v="Fatima"/>
    <n v="4352.7000000000007"/>
  </r>
  <r>
    <x v="46"/>
    <s v="ORD10357"/>
    <s v="Customer 75"/>
    <x v="0"/>
    <x v="3"/>
    <s v="Mouse"/>
    <n v="9"/>
    <n v="1178.1099999999999"/>
    <n v="10"/>
    <s v="Emma"/>
    <n v="9542.6910000000007"/>
  </r>
  <r>
    <x v="17"/>
    <s v="ORD10358"/>
    <s v="Customer 11"/>
    <x v="1"/>
    <x v="2"/>
    <s v="Printer Paper"/>
    <n v="6"/>
    <n v="1050.49"/>
    <n v="10"/>
    <s v="Fatima"/>
    <n v="5672.6460000000006"/>
  </r>
  <r>
    <x v="169"/>
    <s v="ORD10359"/>
    <s v="Customer 16"/>
    <x v="1"/>
    <x v="2"/>
    <s v="Notebook"/>
    <n v="7"/>
    <n v="403.57"/>
    <n v="15"/>
    <s v="David"/>
    <n v="2401.2414999999996"/>
  </r>
  <r>
    <x v="165"/>
    <s v="ORD10360"/>
    <s v="Customer 11"/>
    <x v="2"/>
    <x v="3"/>
    <s v="Monitor"/>
    <n v="7"/>
    <n v="497.87"/>
    <n v="15"/>
    <s v="Chris"/>
    <n v="2962.3265000000001"/>
  </r>
  <r>
    <x v="57"/>
    <s v="ORD10361"/>
    <s v="Customer 5"/>
    <x v="3"/>
    <x v="3"/>
    <s v="Laptop"/>
    <n v="9"/>
    <n v="738.27"/>
    <n v="0"/>
    <s v="Ben"/>
    <n v="6644.43"/>
  </r>
  <r>
    <x v="169"/>
    <s v="ORD10362"/>
    <s v="Customer 7"/>
    <x v="0"/>
    <x v="1"/>
    <s v="Webcam"/>
    <n v="10"/>
    <n v="624.80999999999995"/>
    <n v="15"/>
    <s v="Emma"/>
    <n v="5310.8849999999993"/>
  </r>
  <r>
    <x v="144"/>
    <s v="ORD10363"/>
    <s v="Customer 80"/>
    <x v="2"/>
    <x v="2"/>
    <s v="Printer Paper"/>
    <n v="9"/>
    <n v="972.39"/>
    <n v="0"/>
    <s v="Emma"/>
    <n v="8751.51"/>
  </r>
  <r>
    <x v="170"/>
    <s v="ORD10364"/>
    <s v="Customer 40"/>
    <x v="0"/>
    <x v="3"/>
    <s v="Monitor"/>
    <n v="4"/>
    <n v="807.95"/>
    <n v="10"/>
    <s v="Ben"/>
    <n v="2908.6200000000003"/>
  </r>
  <r>
    <x v="111"/>
    <s v="ORD10365"/>
    <s v="Customer 52"/>
    <x v="0"/>
    <x v="0"/>
    <s v="Cabinet"/>
    <n v="10"/>
    <n v="360"/>
    <n v="15"/>
    <s v="David"/>
    <n v="3060"/>
  </r>
  <r>
    <x v="171"/>
    <s v="ORD10366"/>
    <s v="Customer 58"/>
    <x v="1"/>
    <x v="1"/>
    <s v="USB Drive"/>
    <n v="4"/>
    <n v="714.17"/>
    <n v="10"/>
    <s v="Fatima"/>
    <n v="2571.0119999999997"/>
  </r>
  <r>
    <x v="48"/>
    <s v="ORD10367"/>
    <s v="Customer 14"/>
    <x v="0"/>
    <x v="0"/>
    <s v="Cabinet"/>
    <n v="3"/>
    <n v="1167.06"/>
    <n v="5"/>
    <s v="Ben"/>
    <n v="3326.1209999999996"/>
  </r>
  <r>
    <x v="123"/>
    <s v="ORD10368"/>
    <s v="Customer 68"/>
    <x v="3"/>
    <x v="1"/>
    <s v="USB Drive"/>
    <n v="1"/>
    <n v="962.98"/>
    <n v="0"/>
    <s v="Alice"/>
    <n v="962.98"/>
  </r>
  <r>
    <x v="165"/>
    <s v="ORD10369"/>
    <s v="Customer 45"/>
    <x v="0"/>
    <x v="1"/>
    <s v="USB Drive"/>
    <n v="5"/>
    <n v="518.75"/>
    <n v="0"/>
    <s v="Alice"/>
    <n v="2593.75"/>
  </r>
  <r>
    <x v="153"/>
    <s v="ORD10370"/>
    <s v="Customer 80"/>
    <x v="3"/>
    <x v="2"/>
    <s v="Printer Paper"/>
    <n v="2"/>
    <n v="141.15"/>
    <n v="10"/>
    <s v="Emma"/>
    <n v="254.07000000000002"/>
  </r>
  <r>
    <x v="134"/>
    <s v="ORD10371"/>
    <s v="Customer 52"/>
    <x v="2"/>
    <x v="0"/>
    <s v="Desk"/>
    <n v="5"/>
    <n v="897.27"/>
    <n v="5"/>
    <s v="Chris"/>
    <n v="4262.0325000000003"/>
  </r>
  <r>
    <x v="164"/>
    <s v="ORD10372"/>
    <s v="Customer 51"/>
    <x v="0"/>
    <x v="2"/>
    <s v="Notebook"/>
    <n v="6"/>
    <n v="1080.67"/>
    <n v="0"/>
    <s v="Alice"/>
    <n v="6484.02"/>
  </r>
  <r>
    <x v="152"/>
    <s v="ORD10373"/>
    <s v="Customer 12"/>
    <x v="2"/>
    <x v="1"/>
    <s v="USB Drive"/>
    <n v="9"/>
    <n v="1135.8800000000001"/>
    <n v="10"/>
    <s v="Emma"/>
    <n v="9200.6280000000024"/>
  </r>
  <r>
    <x v="51"/>
    <s v="ORD10374"/>
    <s v="Customer 4"/>
    <x v="1"/>
    <x v="1"/>
    <s v="Webcam"/>
    <n v="5"/>
    <n v="966.24"/>
    <n v="10"/>
    <s v="Alice"/>
    <n v="4348.08"/>
  </r>
  <r>
    <x v="124"/>
    <s v="ORD10375"/>
    <s v="Customer 52"/>
    <x v="3"/>
    <x v="2"/>
    <s v="Pen"/>
    <n v="5"/>
    <n v="319.89"/>
    <n v="0"/>
    <s v="Chris"/>
    <n v="1599.4499999999998"/>
  </r>
  <r>
    <x v="6"/>
    <s v="ORD10376"/>
    <s v="Customer 9"/>
    <x v="3"/>
    <x v="0"/>
    <s v="Desk"/>
    <n v="5"/>
    <n v="659.17"/>
    <n v="15"/>
    <s v="Fatima"/>
    <n v="2801.4724999999999"/>
  </r>
  <r>
    <x v="59"/>
    <s v="ORD10377"/>
    <s v="Customer 52"/>
    <x v="3"/>
    <x v="1"/>
    <s v="Headset"/>
    <n v="10"/>
    <n v="677.21"/>
    <n v="5"/>
    <s v="Chris"/>
    <n v="6433.4949999999999"/>
  </r>
  <r>
    <x v="97"/>
    <s v="ORD10378"/>
    <s v="Customer 18"/>
    <x v="2"/>
    <x v="2"/>
    <s v="Pen"/>
    <n v="10"/>
    <n v="297.14"/>
    <n v="10"/>
    <s v="Emma"/>
    <n v="2674.2599999999998"/>
  </r>
  <r>
    <x v="23"/>
    <s v="ORD10379"/>
    <s v="Customer 10"/>
    <x v="3"/>
    <x v="0"/>
    <s v="Cabinet"/>
    <n v="10"/>
    <n v="1182.8800000000001"/>
    <n v="10"/>
    <s v="David"/>
    <n v="10645.920000000002"/>
  </r>
  <r>
    <x v="67"/>
    <s v="ORD10380"/>
    <s v="Customer 21"/>
    <x v="3"/>
    <x v="1"/>
    <s v="Webcam"/>
    <n v="8"/>
    <n v="589.69000000000005"/>
    <n v="0"/>
    <s v="David"/>
    <n v="4717.5200000000004"/>
  </r>
  <r>
    <x v="10"/>
    <s v="ORD10381"/>
    <s v="Customer 53"/>
    <x v="3"/>
    <x v="1"/>
    <s v="Webcam"/>
    <n v="10"/>
    <n v="788.8"/>
    <n v="0"/>
    <s v="Fatima"/>
    <n v="7888"/>
  </r>
  <r>
    <x v="100"/>
    <s v="ORD10382"/>
    <s v="Customer 78"/>
    <x v="2"/>
    <x v="2"/>
    <s v="Pen"/>
    <n v="3"/>
    <n v="824.77"/>
    <n v="5"/>
    <s v="David"/>
    <n v="2350.5944999999997"/>
  </r>
  <r>
    <x v="172"/>
    <s v="ORD10383"/>
    <s v="Customer 63"/>
    <x v="3"/>
    <x v="0"/>
    <s v="Cabinet"/>
    <n v="3"/>
    <n v="760.3"/>
    <n v="5"/>
    <s v="Ben"/>
    <n v="2166.8549999999996"/>
  </r>
  <r>
    <x v="13"/>
    <s v="ORD10384"/>
    <s v="Customer 38"/>
    <x v="1"/>
    <x v="2"/>
    <s v="Notebook"/>
    <n v="10"/>
    <n v="370.49"/>
    <n v="5"/>
    <s v="Emma"/>
    <n v="3519.6549999999997"/>
  </r>
  <r>
    <x v="143"/>
    <s v="ORD10385"/>
    <s v="Customer 49"/>
    <x v="3"/>
    <x v="3"/>
    <s v="Mouse"/>
    <n v="5"/>
    <n v="1070.32"/>
    <n v="15"/>
    <s v="Fatima"/>
    <n v="4548.8599999999997"/>
  </r>
  <r>
    <x v="2"/>
    <s v="ORD10386"/>
    <s v="Customer 62"/>
    <x v="2"/>
    <x v="0"/>
    <s v="Desk"/>
    <n v="5"/>
    <n v="589.71"/>
    <n v="0"/>
    <s v="Emma"/>
    <n v="2948.55"/>
  </r>
  <r>
    <x v="23"/>
    <s v="ORD10387"/>
    <s v="Customer 22"/>
    <x v="1"/>
    <x v="0"/>
    <s v="Cabinet"/>
    <n v="10"/>
    <n v="750.34"/>
    <n v="5"/>
    <s v="Ben"/>
    <n v="7128.2300000000005"/>
  </r>
  <r>
    <x v="72"/>
    <s v="ORD10388"/>
    <s v="Customer 5"/>
    <x v="0"/>
    <x v="1"/>
    <s v="Headset"/>
    <n v="8"/>
    <n v="107.48"/>
    <n v="10"/>
    <s v="Ben"/>
    <n v="773.85599999999999"/>
  </r>
  <r>
    <x v="21"/>
    <s v="ORD10389"/>
    <s v="Customer 57"/>
    <x v="1"/>
    <x v="0"/>
    <s v="Desk"/>
    <n v="3"/>
    <n v="785.23"/>
    <n v="10"/>
    <s v="Chris"/>
    <n v="2120.1210000000001"/>
  </r>
  <r>
    <x v="95"/>
    <s v="ORD10390"/>
    <s v="Customer 13"/>
    <x v="0"/>
    <x v="3"/>
    <s v="Laptop"/>
    <n v="7"/>
    <n v="461.66"/>
    <n v="15"/>
    <s v="Alice"/>
    <n v="2746.8770000000004"/>
  </r>
  <r>
    <x v="173"/>
    <s v="ORD10391"/>
    <s v="Customer 60"/>
    <x v="0"/>
    <x v="2"/>
    <s v="Printer Paper"/>
    <n v="6"/>
    <n v="410.02"/>
    <n v="0"/>
    <s v="Ben"/>
    <n v="2460.12"/>
  </r>
  <r>
    <x v="174"/>
    <s v="ORD10392"/>
    <s v="Customer 42"/>
    <x v="3"/>
    <x v="3"/>
    <s v="Laptop"/>
    <n v="1"/>
    <n v="973.85"/>
    <n v="0"/>
    <s v="Chris"/>
    <n v="973.85"/>
  </r>
  <r>
    <x v="110"/>
    <s v="ORD10393"/>
    <s v="Customer 26"/>
    <x v="2"/>
    <x v="2"/>
    <s v="Printer Paper"/>
    <n v="1"/>
    <n v="96.7"/>
    <n v="0"/>
    <s v="Alice"/>
    <n v="96.7"/>
  </r>
  <r>
    <x v="122"/>
    <s v="ORD10394"/>
    <s v="Customer 68"/>
    <x v="1"/>
    <x v="1"/>
    <s v="Webcam"/>
    <n v="4"/>
    <n v="187.37"/>
    <n v="0"/>
    <s v="Alice"/>
    <n v="749.48"/>
  </r>
  <r>
    <x v="20"/>
    <s v="ORD10395"/>
    <s v="Customer 71"/>
    <x v="1"/>
    <x v="1"/>
    <s v="Headset"/>
    <n v="9"/>
    <n v="974.58"/>
    <n v="15"/>
    <s v="Alice"/>
    <n v="7455.5370000000012"/>
  </r>
  <r>
    <x v="105"/>
    <s v="ORD10396"/>
    <s v="Customer 69"/>
    <x v="3"/>
    <x v="3"/>
    <s v="Monitor"/>
    <n v="4"/>
    <n v="406.06"/>
    <n v="0"/>
    <s v="Fatima"/>
    <n v="1624.24"/>
  </r>
  <r>
    <x v="21"/>
    <s v="ORD10397"/>
    <s v="Customer 22"/>
    <x v="2"/>
    <x v="2"/>
    <s v="Notebook"/>
    <n v="4"/>
    <n v="446.82"/>
    <n v="5"/>
    <s v="Alice"/>
    <n v="1697.9159999999999"/>
  </r>
  <r>
    <x v="70"/>
    <s v="ORD10398"/>
    <s v="Customer 79"/>
    <x v="2"/>
    <x v="1"/>
    <s v="USB Drive"/>
    <n v="2"/>
    <n v="163.71"/>
    <n v="10"/>
    <s v="Fatima"/>
    <n v="294.678"/>
  </r>
  <r>
    <x v="93"/>
    <s v="ORD10399"/>
    <s v="Customer 13"/>
    <x v="2"/>
    <x v="2"/>
    <s v="Notebook"/>
    <n v="3"/>
    <n v="821.3"/>
    <n v="5"/>
    <s v="David"/>
    <n v="2340.7049999999995"/>
  </r>
  <r>
    <x v="24"/>
    <s v="ORD10400"/>
    <s v="Customer 26"/>
    <x v="3"/>
    <x v="3"/>
    <s v="Laptop"/>
    <n v="1"/>
    <n v="782.47"/>
    <n v="15"/>
    <s v="Alice"/>
    <n v="665.09950000000003"/>
  </r>
  <r>
    <x v="170"/>
    <s v="ORD10401"/>
    <s v="Customer 44"/>
    <x v="3"/>
    <x v="0"/>
    <s v="Cabinet"/>
    <n v="5"/>
    <n v="697.16"/>
    <n v="5"/>
    <s v="Emma"/>
    <n v="3311.5099999999998"/>
  </r>
  <r>
    <x v="175"/>
    <s v="ORD10402"/>
    <s v="Customer 4"/>
    <x v="3"/>
    <x v="1"/>
    <s v="Webcam"/>
    <n v="5"/>
    <n v="1110.71"/>
    <n v="10"/>
    <s v="Emma"/>
    <n v="4998.1950000000006"/>
  </r>
  <r>
    <x v="159"/>
    <s v="ORD10403"/>
    <s v="Customer 48"/>
    <x v="2"/>
    <x v="3"/>
    <s v="Keyboard"/>
    <n v="10"/>
    <n v="1079.32"/>
    <n v="0"/>
    <s v="Alice"/>
    <n v="10793.199999999999"/>
  </r>
  <r>
    <x v="117"/>
    <s v="ORD10404"/>
    <s v="Customer 57"/>
    <x v="2"/>
    <x v="0"/>
    <s v="Cabinet"/>
    <n v="5"/>
    <n v="774.79"/>
    <n v="0"/>
    <s v="Fatima"/>
    <n v="3873.95"/>
  </r>
  <r>
    <x v="158"/>
    <s v="ORD10405"/>
    <s v="Customer 69"/>
    <x v="0"/>
    <x v="1"/>
    <s v="USB Drive"/>
    <n v="5"/>
    <n v="176.53"/>
    <n v="5"/>
    <s v="Ben"/>
    <n v="838.51749999999993"/>
  </r>
  <r>
    <x v="10"/>
    <s v="ORD10406"/>
    <s v="Customer 22"/>
    <x v="3"/>
    <x v="3"/>
    <s v="Mouse"/>
    <n v="6"/>
    <n v="714.04"/>
    <n v="0"/>
    <s v="Chris"/>
    <n v="4284.24"/>
  </r>
  <r>
    <x v="95"/>
    <s v="ORD10407"/>
    <s v="Customer 76"/>
    <x v="0"/>
    <x v="2"/>
    <s v="Pen"/>
    <n v="2"/>
    <n v="410.39"/>
    <n v="0"/>
    <s v="Emma"/>
    <n v="820.78"/>
  </r>
  <r>
    <x v="150"/>
    <s v="ORD10408"/>
    <s v="Customer 79"/>
    <x v="0"/>
    <x v="2"/>
    <s v="Printer Paper"/>
    <n v="10"/>
    <n v="376.78"/>
    <n v="5"/>
    <s v="Emma"/>
    <n v="3579.4099999999994"/>
  </r>
  <r>
    <x v="48"/>
    <s v="ORD10409"/>
    <s v="Customer 67"/>
    <x v="0"/>
    <x v="0"/>
    <s v="Cabinet"/>
    <n v="6"/>
    <n v="661.51"/>
    <n v="10"/>
    <s v="Fatima"/>
    <n v="3572.154"/>
  </r>
  <r>
    <x v="76"/>
    <s v="ORD10410"/>
    <s v="Customer 33"/>
    <x v="1"/>
    <x v="2"/>
    <s v="Notebook"/>
    <n v="5"/>
    <n v="592.24"/>
    <n v="5"/>
    <s v="Fatima"/>
    <n v="2813.14"/>
  </r>
  <r>
    <x v="112"/>
    <s v="ORD10411"/>
    <s v="Customer 11"/>
    <x v="0"/>
    <x v="3"/>
    <s v="Mouse"/>
    <n v="2"/>
    <n v="940.25"/>
    <n v="0"/>
    <s v="Alice"/>
    <n v="1880.5"/>
  </r>
  <r>
    <x v="72"/>
    <s v="ORD10412"/>
    <s v="Customer 63"/>
    <x v="1"/>
    <x v="2"/>
    <s v="Printer Paper"/>
    <n v="1"/>
    <n v="29.62"/>
    <n v="5"/>
    <s v="David"/>
    <n v="28.138999999999999"/>
  </r>
  <r>
    <x v="27"/>
    <s v="ORD10413"/>
    <s v="Customer 61"/>
    <x v="0"/>
    <x v="2"/>
    <s v="Pen"/>
    <n v="10"/>
    <n v="852.41"/>
    <n v="15"/>
    <s v="David"/>
    <n v="7245.4849999999997"/>
  </r>
  <r>
    <x v="112"/>
    <s v="ORD10414"/>
    <s v="Customer 34"/>
    <x v="0"/>
    <x v="3"/>
    <s v="Monitor"/>
    <n v="8"/>
    <n v="1123"/>
    <n v="5"/>
    <s v="Fatima"/>
    <n v="8534.7999999999993"/>
  </r>
  <r>
    <x v="32"/>
    <s v="ORD10415"/>
    <s v="Customer 2"/>
    <x v="0"/>
    <x v="2"/>
    <s v="Notebook"/>
    <n v="7"/>
    <n v="468.77"/>
    <n v="10"/>
    <s v="David"/>
    <n v="2953.2509999999997"/>
  </r>
  <r>
    <x v="83"/>
    <s v="ORD10416"/>
    <s v="Customer 32"/>
    <x v="0"/>
    <x v="3"/>
    <s v="Keyboard"/>
    <n v="5"/>
    <n v="689.76"/>
    <n v="10"/>
    <s v="Alice"/>
    <n v="3103.92"/>
  </r>
  <r>
    <x v="151"/>
    <s v="ORD10417"/>
    <s v="Customer 21"/>
    <x v="3"/>
    <x v="3"/>
    <s v="Keyboard"/>
    <n v="10"/>
    <n v="251.25"/>
    <n v="10"/>
    <s v="Chris"/>
    <n v="2261.25"/>
  </r>
  <r>
    <x v="163"/>
    <s v="ORD10418"/>
    <s v="Customer 8"/>
    <x v="0"/>
    <x v="0"/>
    <s v="Cabinet"/>
    <n v="10"/>
    <n v="500.96"/>
    <n v="5"/>
    <s v="Fatima"/>
    <n v="4759.119999999999"/>
  </r>
  <r>
    <x v="165"/>
    <s v="ORD10419"/>
    <s v="Customer 15"/>
    <x v="0"/>
    <x v="0"/>
    <s v="Chair"/>
    <n v="3"/>
    <n v="574.25"/>
    <n v="15"/>
    <s v="Ben"/>
    <n v="1464.3374999999999"/>
  </r>
  <r>
    <x v="36"/>
    <s v="ORD10420"/>
    <s v="Customer 2"/>
    <x v="3"/>
    <x v="3"/>
    <s v="Monitor"/>
    <n v="3"/>
    <n v="109.83"/>
    <n v="10"/>
    <s v="Chris"/>
    <n v="296.541"/>
  </r>
  <r>
    <x v="144"/>
    <s v="ORD10421"/>
    <s v="Customer 50"/>
    <x v="2"/>
    <x v="3"/>
    <s v="Monitor"/>
    <n v="10"/>
    <n v="616.21"/>
    <n v="10"/>
    <s v="Emma"/>
    <n v="5545.89"/>
  </r>
  <r>
    <x v="58"/>
    <s v="ORD10422"/>
    <s v="Customer 43"/>
    <x v="3"/>
    <x v="1"/>
    <s v="Headset"/>
    <n v="4"/>
    <n v="898"/>
    <n v="0"/>
    <s v="David"/>
    <n v="3592"/>
  </r>
  <r>
    <x v="102"/>
    <s v="ORD10423"/>
    <s v="Customer 76"/>
    <x v="1"/>
    <x v="0"/>
    <s v="Desk"/>
    <n v="4"/>
    <n v="70.5"/>
    <n v="10"/>
    <s v="Fatima"/>
    <n v="253.8"/>
  </r>
  <r>
    <x v="30"/>
    <s v="ORD10424"/>
    <s v="Customer 32"/>
    <x v="1"/>
    <x v="0"/>
    <s v="Cabinet"/>
    <n v="6"/>
    <n v="77.760000000000005"/>
    <n v="15"/>
    <s v="Ben"/>
    <n v="396.57600000000002"/>
  </r>
  <r>
    <x v="109"/>
    <s v="ORD10425"/>
    <s v="Customer 74"/>
    <x v="0"/>
    <x v="3"/>
    <s v="Mouse"/>
    <n v="1"/>
    <n v="439.88"/>
    <n v="5"/>
    <s v="Emma"/>
    <n v="417.88599999999997"/>
  </r>
  <r>
    <x v="4"/>
    <s v="ORD10426"/>
    <s v="Customer 72"/>
    <x v="0"/>
    <x v="0"/>
    <s v="Desk"/>
    <n v="7"/>
    <n v="979.79"/>
    <n v="10"/>
    <s v="David"/>
    <n v="6172.6769999999997"/>
  </r>
  <r>
    <x v="54"/>
    <s v="ORD10427"/>
    <s v="Customer 19"/>
    <x v="1"/>
    <x v="0"/>
    <s v="Chair"/>
    <n v="7"/>
    <n v="376.46"/>
    <n v="5"/>
    <s v="Alice"/>
    <n v="2503.4589999999998"/>
  </r>
  <r>
    <x v="44"/>
    <s v="ORD10428"/>
    <s v="Customer 1"/>
    <x v="1"/>
    <x v="1"/>
    <s v="USB Drive"/>
    <n v="7"/>
    <n v="964.78"/>
    <n v="0"/>
    <s v="Ben"/>
    <n v="6753.46"/>
  </r>
  <r>
    <x v="157"/>
    <s v="ORD10429"/>
    <s v="Customer 47"/>
    <x v="2"/>
    <x v="0"/>
    <s v="Chair"/>
    <n v="6"/>
    <n v="271.23"/>
    <n v="0"/>
    <s v="David"/>
    <n v="1627.38"/>
  </r>
  <r>
    <x v="176"/>
    <s v="ORD10430"/>
    <s v="Customer 61"/>
    <x v="2"/>
    <x v="3"/>
    <s v="Mouse"/>
    <n v="3"/>
    <n v="1192.1099999999999"/>
    <n v="15"/>
    <s v="Ben"/>
    <n v="3039.8804999999998"/>
  </r>
  <r>
    <x v="62"/>
    <s v="ORD10431"/>
    <s v="Customer 42"/>
    <x v="2"/>
    <x v="0"/>
    <s v="Chair"/>
    <n v="2"/>
    <n v="689.54"/>
    <n v="5"/>
    <s v="Fatima"/>
    <n v="1310.126"/>
  </r>
  <r>
    <x v="73"/>
    <s v="ORD10432"/>
    <s v="Customer 42"/>
    <x v="2"/>
    <x v="1"/>
    <s v="Webcam"/>
    <n v="4"/>
    <n v="1082.9000000000001"/>
    <n v="15"/>
    <s v="Ben"/>
    <n v="3681.86"/>
  </r>
  <r>
    <x v="21"/>
    <s v="ORD10433"/>
    <s v="Customer 18"/>
    <x v="1"/>
    <x v="0"/>
    <s v="Cabinet"/>
    <n v="2"/>
    <n v="1073.17"/>
    <n v="5"/>
    <s v="Ben"/>
    <n v="2039.0230000000001"/>
  </r>
  <r>
    <x v="67"/>
    <s v="ORD10434"/>
    <s v="Customer 56"/>
    <x v="1"/>
    <x v="1"/>
    <s v="Headset"/>
    <n v="5"/>
    <n v="554.66999999999996"/>
    <n v="15"/>
    <s v="David"/>
    <n v="2357.3474999999999"/>
  </r>
  <r>
    <x v="131"/>
    <s v="ORD10435"/>
    <s v="Customer 54"/>
    <x v="0"/>
    <x v="3"/>
    <s v="Laptop"/>
    <n v="10"/>
    <n v="620.16999999999996"/>
    <n v="15"/>
    <s v="Fatima"/>
    <n v="5271.4449999999997"/>
  </r>
  <r>
    <x v="33"/>
    <s v="ORD10436"/>
    <s v="Customer 6"/>
    <x v="1"/>
    <x v="3"/>
    <s v="Mouse"/>
    <n v="5"/>
    <n v="992.8"/>
    <n v="15"/>
    <s v="Alice"/>
    <n v="4219.3999999999996"/>
  </r>
  <r>
    <x v="177"/>
    <s v="ORD10437"/>
    <s v="Customer 50"/>
    <x v="2"/>
    <x v="2"/>
    <s v="Notebook"/>
    <n v="1"/>
    <n v="390.6"/>
    <n v="0"/>
    <s v="Ben"/>
    <n v="390.6"/>
  </r>
  <r>
    <x v="32"/>
    <s v="ORD10438"/>
    <s v="Customer 8"/>
    <x v="2"/>
    <x v="1"/>
    <s v="USB Drive"/>
    <n v="10"/>
    <n v="335.25"/>
    <n v="0"/>
    <s v="Ben"/>
    <n v="3352.5"/>
  </r>
  <r>
    <x v="56"/>
    <s v="ORD10439"/>
    <s v="Customer 41"/>
    <x v="1"/>
    <x v="0"/>
    <s v="Desk"/>
    <n v="10"/>
    <n v="942.75"/>
    <n v="15"/>
    <s v="Chris"/>
    <n v="8013.375"/>
  </r>
  <r>
    <x v="38"/>
    <s v="ORD10440"/>
    <s v="Customer 5"/>
    <x v="1"/>
    <x v="3"/>
    <s v="Monitor"/>
    <n v="10"/>
    <n v="389.47"/>
    <n v="0"/>
    <s v="Ben"/>
    <n v="3894.7000000000003"/>
  </r>
  <r>
    <x v="66"/>
    <s v="ORD10441"/>
    <s v="Customer 51"/>
    <x v="0"/>
    <x v="2"/>
    <s v="Printer Paper"/>
    <n v="6"/>
    <n v="237.61"/>
    <n v="0"/>
    <s v="Alice"/>
    <n v="1425.66"/>
  </r>
  <r>
    <x v="105"/>
    <s v="ORD10442"/>
    <s v="Customer 12"/>
    <x v="0"/>
    <x v="0"/>
    <s v="Chair"/>
    <n v="6"/>
    <n v="524.63"/>
    <n v="10"/>
    <s v="Emma"/>
    <n v="2833.002"/>
  </r>
  <r>
    <x v="16"/>
    <s v="ORD10443"/>
    <s v="Customer 66"/>
    <x v="0"/>
    <x v="2"/>
    <s v="Notebook"/>
    <n v="3"/>
    <n v="563.5"/>
    <n v="5"/>
    <s v="Chris"/>
    <n v="1605.9749999999999"/>
  </r>
  <r>
    <x v="63"/>
    <s v="ORD10444"/>
    <s v="Customer 63"/>
    <x v="0"/>
    <x v="3"/>
    <s v="Keyboard"/>
    <n v="8"/>
    <n v="853.56"/>
    <n v="15"/>
    <s v="Ben"/>
    <n v="5804.2079999999996"/>
  </r>
  <r>
    <x v="146"/>
    <s v="ORD10445"/>
    <s v="Customer 23"/>
    <x v="2"/>
    <x v="2"/>
    <s v="Printer Paper"/>
    <n v="9"/>
    <n v="890.13"/>
    <n v="10"/>
    <s v="Emma"/>
    <n v="7210.0529999999999"/>
  </r>
  <r>
    <x v="152"/>
    <s v="ORD10446"/>
    <s v="Customer 49"/>
    <x v="2"/>
    <x v="1"/>
    <s v="USB Drive"/>
    <n v="1"/>
    <n v="1027.1199999999999"/>
    <n v="0"/>
    <s v="Chris"/>
    <n v="1027.1199999999999"/>
  </r>
  <r>
    <x v="178"/>
    <s v="ORD10447"/>
    <s v="Customer 12"/>
    <x v="0"/>
    <x v="2"/>
    <s v="Pen"/>
    <n v="8"/>
    <n v="575.24"/>
    <n v="15"/>
    <s v="David"/>
    <n v="3911.6320000000001"/>
  </r>
  <r>
    <x v="160"/>
    <s v="ORD10448"/>
    <s v="Customer 3"/>
    <x v="1"/>
    <x v="3"/>
    <s v="Laptop"/>
    <n v="1"/>
    <n v="1002.5"/>
    <n v="10"/>
    <s v="Alice"/>
    <n v="902.25"/>
  </r>
  <r>
    <x v="160"/>
    <s v="ORD10449"/>
    <s v="Customer 80"/>
    <x v="0"/>
    <x v="3"/>
    <s v="Monitor"/>
    <n v="10"/>
    <n v="852.3"/>
    <n v="10"/>
    <s v="Alice"/>
    <n v="7670.7"/>
  </r>
  <r>
    <x v="118"/>
    <s v="ORD10450"/>
    <s v="Customer 13"/>
    <x v="0"/>
    <x v="2"/>
    <s v="Printer Paper"/>
    <n v="5"/>
    <n v="1171.3800000000001"/>
    <n v="15"/>
    <s v="Emma"/>
    <n v="4978.3650000000007"/>
  </r>
  <r>
    <x v="179"/>
    <s v="ORD10451"/>
    <s v="Customer 71"/>
    <x v="1"/>
    <x v="0"/>
    <s v="Chair"/>
    <n v="1"/>
    <n v="285.45999999999998"/>
    <n v="15"/>
    <s v="Fatima"/>
    <n v="242.64099999999996"/>
  </r>
  <r>
    <x v="118"/>
    <s v="ORD10452"/>
    <s v="Customer 64"/>
    <x v="2"/>
    <x v="3"/>
    <s v="Keyboard"/>
    <n v="8"/>
    <n v="706.4"/>
    <n v="15"/>
    <s v="David"/>
    <n v="4803.5199999999995"/>
  </r>
  <r>
    <x v="52"/>
    <s v="ORD10453"/>
    <s v="Customer 70"/>
    <x v="0"/>
    <x v="0"/>
    <s v="Chair"/>
    <n v="7"/>
    <n v="565.63"/>
    <n v="10"/>
    <s v="Alice"/>
    <n v="3563.4690000000001"/>
  </r>
  <r>
    <x v="127"/>
    <s v="ORD10454"/>
    <s v="Customer 60"/>
    <x v="1"/>
    <x v="0"/>
    <s v="Cabinet"/>
    <n v="9"/>
    <n v="922.52"/>
    <n v="0"/>
    <s v="Chris"/>
    <n v="8302.68"/>
  </r>
  <r>
    <x v="89"/>
    <s v="ORD10455"/>
    <s v="Customer 54"/>
    <x v="3"/>
    <x v="0"/>
    <s v="Chair"/>
    <n v="5"/>
    <n v="364.96"/>
    <n v="15"/>
    <s v="Chris"/>
    <n v="1551.08"/>
  </r>
  <r>
    <x v="145"/>
    <s v="ORD10456"/>
    <s v="Customer 7"/>
    <x v="2"/>
    <x v="0"/>
    <s v="Chair"/>
    <n v="6"/>
    <n v="410.15"/>
    <n v="5"/>
    <s v="David"/>
    <n v="2337.8549999999996"/>
  </r>
  <r>
    <x v="66"/>
    <s v="ORD10457"/>
    <s v="Customer 13"/>
    <x v="3"/>
    <x v="0"/>
    <s v="Desk"/>
    <n v="9"/>
    <n v="750.04"/>
    <n v="10"/>
    <s v="Fatima"/>
    <n v="6075.3239999999996"/>
  </r>
  <r>
    <x v="180"/>
    <s v="ORD10458"/>
    <s v="Customer 49"/>
    <x v="1"/>
    <x v="2"/>
    <s v="Pen"/>
    <n v="5"/>
    <n v="25.14"/>
    <n v="5"/>
    <s v="Alice"/>
    <n v="119.41499999999999"/>
  </r>
  <r>
    <x v="6"/>
    <s v="ORD10459"/>
    <s v="Customer 59"/>
    <x v="3"/>
    <x v="0"/>
    <s v="Chair"/>
    <n v="9"/>
    <n v="475.96"/>
    <n v="10"/>
    <s v="Alice"/>
    <n v="3855.2759999999994"/>
  </r>
  <r>
    <x v="136"/>
    <s v="ORD10460"/>
    <s v="Customer 68"/>
    <x v="1"/>
    <x v="1"/>
    <s v="Webcam"/>
    <n v="5"/>
    <n v="400.07"/>
    <n v="5"/>
    <s v="Alice"/>
    <n v="1900.3324999999998"/>
  </r>
  <r>
    <x v="181"/>
    <s v="ORD10461"/>
    <s v="Customer 38"/>
    <x v="1"/>
    <x v="1"/>
    <s v="Webcam"/>
    <n v="1"/>
    <n v="547.61"/>
    <n v="5"/>
    <s v="Emma"/>
    <n v="520.22950000000003"/>
  </r>
  <r>
    <x v="124"/>
    <s v="ORD10462"/>
    <s v="Customer 47"/>
    <x v="0"/>
    <x v="1"/>
    <s v="Webcam"/>
    <n v="8"/>
    <n v="765.3"/>
    <n v="15"/>
    <s v="Emma"/>
    <n v="5204.04"/>
  </r>
  <r>
    <x v="96"/>
    <s v="ORD10463"/>
    <s v="Customer 7"/>
    <x v="2"/>
    <x v="0"/>
    <s v="Chair"/>
    <n v="6"/>
    <n v="894.97"/>
    <n v="10"/>
    <s v="David"/>
    <n v="4832.8379999999997"/>
  </r>
  <r>
    <x v="132"/>
    <s v="ORD10464"/>
    <s v="Customer 42"/>
    <x v="0"/>
    <x v="3"/>
    <s v="Keyboard"/>
    <n v="8"/>
    <n v="459.34"/>
    <n v="0"/>
    <s v="Fatima"/>
    <n v="3674.72"/>
  </r>
  <r>
    <x v="112"/>
    <s v="ORD10465"/>
    <s v="Customer 27"/>
    <x v="2"/>
    <x v="2"/>
    <s v="Notebook"/>
    <n v="10"/>
    <n v="412.46"/>
    <n v="15"/>
    <s v="Alice"/>
    <n v="3505.9099999999994"/>
  </r>
  <r>
    <x v="81"/>
    <s v="ORD10466"/>
    <s v="Customer 62"/>
    <x v="2"/>
    <x v="0"/>
    <s v="Chair"/>
    <n v="8"/>
    <n v="425.67"/>
    <n v="15"/>
    <s v="Alice"/>
    <n v="2894.556"/>
  </r>
  <r>
    <x v="57"/>
    <s v="ORD10467"/>
    <s v="Customer 61"/>
    <x v="2"/>
    <x v="1"/>
    <s v="Headset"/>
    <n v="10"/>
    <n v="891.91"/>
    <n v="0"/>
    <s v="Fatima"/>
    <n v="8919.1"/>
  </r>
  <r>
    <x v="109"/>
    <s v="ORD10468"/>
    <s v="Customer 25"/>
    <x v="3"/>
    <x v="0"/>
    <s v="Cabinet"/>
    <n v="3"/>
    <n v="827.88"/>
    <n v="15"/>
    <s v="Ben"/>
    <n v="2111.0940000000001"/>
  </r>
  <r>
    <x v="10"/>
    <s v="ORD10469"/>
    <s v="Customer 27"/>
    <x v="1"/>
    <x v="2"/>
    <s v="Printer Paper"/>
    <n v="2"/>
    <n v="186.76"/>
    <n v="10"/>
    <s v="Ben"/>
    <n v="336.16800000000001"/>
  </r>
  <r>
    <x v="97"/>
    <s v="ORD10470"/>
    <s v="Customer 19"/>
    <x v="0"/>
    <x v="1"/>
    <s v="USB Drive"/>
    <n v="1"/>
    <n v="245.18"/>
    <n v="0"/>
    <s v="Alice"/>
    <n v="245.18"/>
  </r>
  <r>
    <x v="101"/>
    <s v="ORD10471"/>
    <s v="Customer 9"/>
    <x v="0"/>
    <x v="3"/>
    <s v="Keyboard"/>
    <n v="2"/>
    <n v="490.5"/>
    <n v="5"/>
    <s v="Ben"/>
    <n v="931.94999999999993"/>
  </r>
  <r>
    <x v="182"/>
    <s v="ORD10472"/>
    <s v="Customer 51"/>
    <x v="2"/>
    <x v="2"/>
    <s v="Notebook"/>
    <n v="3"/>
    <n v="14.73"/>
    <n v="15"/>
    <s v="Chris"/>
    <n v="37.561499999999995"/>
  </r>
  <r>
    <x v="70"/>
    <s v="ORD10473"/>
    <s v="Customer 23"/>
    <x v="1"/>
    <x v="1"/>
    <s v="Webcam"/>
    <n v="6"/>
    <n v="564.51"/>
    <n v="15"/>
    <s v="Ben"/>
    <n v="2879.0009999999997"/>
  </r>
  <r>
    <x v="27"/>
    <s v="ORD10474"/>
    <s v="Customer 73"/>
    <x v="1"/>
    <x v="3"/>
    <s v="Monitor"/>
    <n v="7"/>
    <n v="909.26"/>
    <n v="0"/>
    <s v="Alice"/>
    <n v="6364.82"/>
  </r>
  <r>
    <x v="20"/>
    <s v="ORD10475"/>
    <s v="Customer 70"/>
    <x v="0"/>
    <x v="3"/>
    <s v="Keyboard"/>
    <n v="10"/>
    <n v="803.98"/>
    <n v="10"/>
    <s v="Fatima"/>
    <n v="7235.8200000000006"/>
  </r>
  <r>
    <x v="28"/>
    <s v="ORD10476"/>
    <s v="Customer 52"/>
    <x v="3"/>
    <x v="0"/>
    <s v="Desk"/>
    <n v="9"/>
    <n v="512.65"/>
    <n v="15"/>
    <s v="David"/>
    <n v="3921.7724999999996"/>
  </r>
  <r>
    <x v="80"/>
    <s v="ORD10477"/>
    <s v="Customer 16"/>
    <x v="2"/>
    <x v="1"/>
    <s v="USB Drive"/>
    <n v="3"/>
    <n v="87.83"/>
    <n v="5"/>
    <s v="Ben"/>
    <n v="250.31549999999999"/>
  </r>
  <r>
    <x v="183"/>
    <s v="ORD10478"/>
    <s v="Customer 41"/>
    <x v="3"/>
    <x v="3"/>
    <s v="Monitor"/>
    <n v="6"/>
    <n v="1095.1300000000001"/>
    <n v="15"/>
    <s v="Chris"/>
    <n v="5585.1630000000005"/>
  </r>
  <r>
    <x v="3"/>
    <s v="ORD10479"/>
    <s v="Customer 19"/>
    <x v="1"/>
    <x v="3"/>
    <s v="Mouse"/>
    <n v="8"/>
    <n v="222.28"/>
    <n v="0"/>
    <s v="Emma"/>
    <n v="1778.24"/>
  </r>
  <r>
    <x v="19"/>
    <s v="ORD10480"/>
    <s v="Customer 36"/>
    <x v="2"/>
    <x v="1"/>
    <s v="USB Drive"/>
    <n v="10"/>
    <n v="555.42999999999995"/>
    <n v="0"/>
    <s v="Alice"/>
    <n v="5554.2999999999993"/>
  </r>
  <r>
    <x v="157"/>
    <s v="ORD10481"/>
    <s v="Customer 12"/>
    <x v="1"/>
    <x v="0"/>
    <s v="Cabinet"/>
    <n v="7"/>
    <n v="823.97"/>
    <n v="0"/>
    <s v="Chris"/>
    <n v="5767.79"/>
  </r>
  <r>
    <x v="147"/>
    <s v="ORD10482"/>
    <s v="Customer 45"/>
    <x v="3"/>
    <x v="3"/>
    <s v="Keyboard"/>
    <n v="1"/>
    <n v="201.67"/>
    <n v="15"/>
    <s v="David"/>
    <n v="171.41949999999997"/>
  </r>
  <r>
    <x v="109"/>
    <s v="ORD10483"/>
    <s v="Customer 78"/>
    <x v="2"/>
    <x v="0"/>
    <s v="Cabinet"/>
    <n v="5"/>
    <n v="695.73"/>
    <n v="15"/>
    <s v="Ben"/>
    <n v="2956.8525"/>
  </r>
  <r>
    <x v="117"/>
    <s v="ORD10484"/>
    <s v="Customer 78"/>
    <x v="1"/>
    <x v="2"/>
    <s v="Printer Paper"/>
    <n v="1"/>
    <n v="950.23"/>
    <n v="5"/>
    <s v="Ben"/>
    <n v="902.71849999999995"/>
  </r>
  <r>
    <x v="28"/>
    <s v="ORD10485"/>
    <s v="Customer 25"/>
    <x v="2"/>
    <x v="1"/>
    <s v="Webcam"/>
    <n v="5"/>
    <n v="828.61"/>
    <n v="5"/>
    <s v="Alice"/>
    <n v="3935.8975"/>
  </r>
  <r>
    <x v="45"/>
    <s v="ORD10486"/>
    <s v="Customer 79"/>
    <x v="2"/>
    <x v="0"/>
    <s v="Chair"/>
    <n v="5"/>
    <n v="787.5"/>
    <n v="0"/>
    <s v="Fatima"/>
    <n v="3937.5"/>
  </r>
  <r>
    <x v="6"/>
    <s v="ORD10487"/>
    <s v="Customer 13"/>
    <x v="1"/>
    <x v="0"/>
    <s v="Chair"/>
    <n v="7"/>
    <n v="761.33"/>
    <n v="15"/>
    <s v="Ben"/>
    <n v="4529.9135000000006"/>
  </r>
  <r>
    <x v="127"/>
    <s v="ORD10488"/>
    <s v="Customer 52"/>
    <x v="3"/>
    <x v="0"/>
    <s v="Desk"/>
    <n v="2"/>
    <n v="847.55"/>
    <n v="0"/>
    <s v="Alice"/>
    <n v="1695.1"/>
  </r>
  <r>
    <x v="112"/>
    <s v="ORD10489"/>
    <s v="Customer 36"/>
    <x v="2"/>
    <x v="2"/>
    <s v="Pen"/>
    <n v="7"/>
    <n v="678.62"/>
    <n v="15"/>
    <s v="Ben"/>
    <n v="4037.7890000000002"/>
  </r>
  <r>
    <x v="93"/>
    <s v="ORD10490"/>
    <s v="Customer 16"/>
    <x v="1"/>
    <x v="0"/>
    <s v="Desk"/>
    <n v="1"/>
    <n v="1120.05"/>
    <n v="0"/>
    <s v="Ben"/>
    <n v="1120.05"/>
  </r>
  <r>
    <x v="122"/>
    <s v="ORD10491"/>
    <s v="Customer 22"/>
    <x v="0"/>
    <x v="3"/>
    <s v="Laptop"/>
    <n v="10"/>
    <n v="386.86"/>
    <n v="10"/>
    <s v="Ben"/>
    <n v="3481.7400000000002"/>
  </r>
  <r>
    <x v="139"/>
    <s v="ORD10492"/>
    <s v="Customer 13"/>
    <x v="2"/>
    <x v="0"/>
    <s v="Chair"/>
    <n v="9"/>
    <n v="1023.26"/>
    <n v="10"/>
    <s v="David"/>
    <n v="8288.4060000000009"/>
  </r>
  <r>
    <x v="23"/>
    <s v="ORD10493"/>
    <s v="Customer 70"/>
    <x v="1"/>
    <x v="2"/>
    <s v="Pen"/>
    <n v="7"/>
    <n v="974.32"/>
    <n v="5"/>
    <s v="Ben"/>
    <n v="6479.2280000000001"/>
  </r>
  <r>
    <x v="10"/>
    <s v="ORD10494"/>
    <s v="Customer 56"/>
    <x v="0"/>
    <x v="3"/>
    <s v="Keyboard"/>
    <n v="1"/>
    <n v="1092.69"/>
    <n v="0"/>
    <s v="Ben"/>
    <n v="1092.69"/>
  </r>
  <r>
    <x v="16"/>
    <s v="ORD10495"/>
    <s v="Customer 41"/>
    <x v="2"/>
    <x v="3"/>
    <s v="Keyboard"/>
    <n v="9"/>
    <n v="84.55"/>
    <n v="15"/>
    <s v="Fatima"/>
    <n v="646.80749999999989"/>
  </r>
  <r>
    <x v="125"/>
    <s v="ORD10496"/>
    <s v="Customer 38"/>
    <x v="1"/>
    <x v="1"/>
    <s v="Headset"/>
    <n v="9"/>
    <n v="770.37"/>
    <n v="10"/>
    <s v="Ben"/>
    <n v="6239.9970000000003"/>
  </r>
  <r>
    <x v="31"/>
    <s v="ORD10497"/>
    <s v="Customer 34"/>
    <x v="1"/>
    <x v="0"/>
    <s v="Cabinet"/>
    <n v="4"/>
    <n v="1037.73"/>
    <n v="5"/>
    <s v="Chris"/>
    <n v="3943.3739999999998"/>
  </r>
  <r>
    <x v="17"/>
    <s v="ORD10498"/>
    <s v="Customer 56"/>
    <x v="3"/>
    <x v="1"/>
    <s v="USB Drive"/>
    <n v="5"/>
    <n v="1150.5899999999999"/>
    <n v="5"/>
    <s v="David"/>
    <n v="5465.3024999999998"/>
  </r>
  <r>
    <x v="34"/>
    <s v="ORD10499"/>
    <s v="Customer 38"/>
    <x v="1"/>
    <x v="2"/>
    <s v="Pen"/>
    <n v="7"/>
    <n v="1057.8900000000001"/>
    <n v="15"/>
    <s v="Ben"/>
    <n v="6294.4454999999998"/>
  </r>
  <r>
    <x v="6"/>
    <s v="ORD10500"/>
    <s v="Customer 28"/>
    <x v="1"/>
    <x v="1"/>
    <s v="Headset"/>
    <n v="5"/>
    <n v="394.09"/>
    <n v="15"/>
    <s v="Alice"/>
    <n v="1674.8824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Total Sale by Monthly Trend">
  <location ref="A26:B34" firstHeaderRow="1" firstDataRow="1" firstDataCol="1"/>
  <pivotFields count="11">
    <pivotField axis="axisRow" showAll="0">
      <items count="15">
        <item x="0"/>
        <item x="1"/>
        <item x="2"/>
        <item x="3"/>
        <item x="4"/>
        <item x="5"/>
        <item x="6"/>
        <item x="7"/>
        <item x="8"/>
        <item x="9"/>
        <item x="10"/>
        <item x="11"/>
        <item x="12"/>
        <item x="13"/>
        <item t="default"/>
      </items>
    </pivotField>
    <pivotField showAll="0"/>
    <pivotField showAll="0"/>
    <pivotField showAll="0">
      <items count="5">
        <item x="1"/>
        <item x="0"/>
        <item x="3"/>
        <item x="2"/>
        <item t="default"/>
      </items>
    </pivotField>
    <pivotField showAll="0">
      <items count="5">
        <item x="1"/>
        <item x="3"/>
        <item x="0"/>
        <item x="2"/>
        <item t="default"/>
      </items>
    </pivotField>
    <pivotField showAll="0"/>
    <pivotField showAll="0"/>
    <pivotField showAll="0"/>
    <pivotField showAll="0"/>
    <pivotField showAll="0"/>
    <pivotField dataField="1" showAll="0"/>
  </pivotFields>
  <rowFields count="1">
    <field x="0"/>
  </rowFields>
  <rowItems count="8">
    <i>
      <x v="1"/>
    </i>
    <i>
      <x v="2"/>
    </i>
    <i>
      <x v="3"/>
    </i>
    <i>
      <x v="4"/>
    </i>
    <i>
      <x v="5"/>
    </i>
    <i>
      <x v="6"/>
    </i>
    <i>
      <x v="7"/>
    </i>
    <i t="grand">
      <x/>
    </i>
  </rowItems>
  <colItems count="1">
    <i/>
  </colItems>
  <dataFields count="1">
    <dataField name="Sum of Total Sal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Total Sale by Product Category ">
  <location ref="A15:B20" firstHeaderRow="1" firstDataRow="1" firstDataCol="1"/>
  <pivotFields count="11">
    <pivotField showAll="0">
      <items count="15">
        <item x="0"/>
        <item x="1"/>
        <item x="2"/>
        <item x="3"/>
        <item x="4"/>
        <item x="5"/>
        <item x="6"/>
        <item x="7"/>
        <item x="8"/>
        <item x="9"/>
        <item x="10"/>
        <item x="11"/>
        <item x="12"/>
        <item x="13"/>
        <item t="default"/>
      </items>
    </pivotField>
    <pivotField showAll="0"/>
    <pivotField showAll="0"/>
    <pivotField showAll="0">
      <items count="5">
        <item x="1"/>
        <item x="0"/>
        <item x="3"/>
        <item x="2"/>
        <item t="default"/>
      </items>
    </pivotField>
    <pivotField axis="axisRow" showAll="0">
      <items count="5">
        <item x="1"/>
        <item x="3"/>
        <item x="0"/>
        <item x="2"/>
        <item t="default"/>
      </items>
    </pivotField>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Total Sal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rowHeaderCaption="Total Sale by Region">
  <location ref="A3:B8" firstHeaderRow="1" firstDataRow="1" firstDataCol="1"/>
  <pivotFields count="11">
    <pivotField showAll="0">
      <items count="15">
        <item x="0"/>
        <item x="1"/>
        <item x="2"/>
        <item x="3"/>
        <item x="4"/>
        <item x="5"/>
        <item x="6"/>
        <item x="7"/>
        <item x="8"/>
        <item x="9"/>
        <item x="10"/>
        <item x="11"/>
        <item x="12"/>
        <item x="13"/>
        <item t="default"/>
      </items>
    </pivotField>
    <pivotField showAll="0"/>
    <pivotField showAll="0"/>
    <pivotField axis="axisRow" showAll="0">
      <items count="5">
        <item x="1"/>
        <item x="0"/>
        <item x="3"/>
        <item x="2"/>
        <item t="default"/>
      </items>
    </pivotField>
    <pivotField showAll="0">
      <items count="5">
        <item x="1"/>
        <item x="3"/>
        <item x="0"/>
        <item x="2"/>
        <item t="default"/>
      </items>
    </pivotField>
    <pivotField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Total Sale" fld="1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5" name="PivotTable4"/>
    <pivotTable tabId="5" name="PivotTable2"/>
    <pivotTable tabId="5" name="PivotTable3"/>
  </pivotTables>
  <data>
    <tabular pivotCacheId="1">
      <items count="14">
        <i x="1" s="1"/>
        <i x="2" s="1"/>
        <i x="3" s="1"/>
        <i x="4" s="1"/>
        <i x="5" s="1"/>
        <i x="6" s="1"/>
        <i x="7" s="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4"/>
    <pivotTable tabId="5" name="PivotTable2"/>
    <pivotTable tabId="5" name="PivotTable3"/>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5" name="PivotTable4"/>
    <pivotTable tabId="5" name="PivotTable2"/>
    <pivotTable tabId="5" name="PivotTable3"/>
  </pivotTables>
  <data>
    <tabular pivotCacheId="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Date" cache="Slicer_Order_Date" caption="Order Date" rowHeight="241300"/>
  <slicer name="Region" cache="Slicer_Region" caption="Region" rowHeight="241300"/>
  <slicer name="Product Category" cache="Slicer_Product_Category" caption="Product Category" rowHeight="241300"/>
</slicers>
</file>

<file path=xl/tables/table1.xml><?xml version="1.0" encoding="utf-8"?>
<table xmlns="http://schemas.openxmlformats.org/spreadsheetml/2006/main" id="1" name="SalesTable" displayName="SalesTable" ref="A1:K501" totalsRowShown="0">
  <autoFilter ref="A1:K501"/>
  <tableColumns count="11">
    <tableColumn id="1" name="Order Date"/>
    <tableColumn id="2" name="Order ID"/>
    <tableColumn id="3" name="Customer Name"/>
    <tableColumn id="4" name="Region"/>
    <tableColumn id="5" name="Product Category"/>
    <tableColumn id="6" name="Product"/>
    <tableColumn id="7" name="Quantity"/>
    <tableColumn id="8" name="Unit Price"/>
    <tableColumn id="9" name="Discount (%)"/>
    <tableColumn id="10" name="Salesperson"/>
    <tableColumn id="11" name="Total Sale" dataDxfId="0">
      <calculatedColumnFormula>SalesTable[[#This Row],[Quantity]]*SalesTable[[#This Row],[Unit Price]]*(1-SalesTable[[#This Row],[Discount (%)]]/100)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1"/>
  <sheetViews>
    <sheetView workbookViewId="0">
      <selection sqref="A1:J501"/>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v>2</v>
      </c>
      <c r="H2">
        <v>406.33</v>
      </c>
      <c r="I2">
        <v>15</v>
      </c>
      <c r="J2" t="s">
        <v>16</v>
      </c>
    </row>
    <row r="3" spans="1:10" x14ac:dyDescent="0.25">
      <c r="A3" t="s">
        <v>17</v>
      </c>
      <c r="B3" t="s">
        <v>18</v>
      </c>
      <c r="C3" t="s">
        <v>19</v>
      </c>
      <c r="D3" t="s">
        <v>20</v>
      </c>
      <c r="E3" t="s">
        <v>14</v>
      </c>
      <c r="F3" t="s">
        <v>21</v>
      </c>
      <c r="G3">
        <v>2</v>
      </c>
      <c r="H3">
        <v>223.08</v>
      </c>
      <c r="I3">
        <v>5</v>
      </c>
      <c r="J3" t="s">
        <v>22</v>
      </c>
    </row>
    <row r="4" spans="1:10" x14ac:dyDescent="0.25">
      <c r="A4" t="s">
        <v>23</v>
      </c>
      <c r="B4" t="s">
        <v>24</v>
      </c>
      <c r="C4" t="s">
        <v>25</v>
      </c>
      <c r="D4" t="s">
        <v>26</v>
      </c>
      <c r="E4" t="s">
        <v>27</v>
      </c>
      <c r="F4" t="s">
        <v>28</v>
      </c>
      <c r="G4">
        <v>10</v>
      </c>
      <c r="H4">
        <v>569.66999999999996</v>
      </c>
      <c r="I4">
        <v>0</v>
      </c>
      <c r="J4" t="s">
        <v>29</v>
      </c>
    </row>
    <row r="5" spans="1:10" x14ac:dyDescent="0.25">
      <c r="A5" t="s">
        <v>30</v>
      </c>
      <c r="B5" t="s">
        <v>31</v>
      </c>
      <c r="C5" t="s">
        <v>32</v>
      </c>
      <c r="D5" t="s">
        <v>13</v>
      </c>
      <c r="E5" t="s">
        <v>33</v>
      </c>
      <c r="F5" t="s">
        <v>34</v>
      </c>
      <c r="G5">
        <v>1</v>
      </c>
      <c r="H5">
        <v>1145.42</v>
      </c>
      <c r="I5">
        <v>0</v>
      </c>
      <c r="J5" t="s">
        <v>16</v>
      </c>
    </row>
    <row r="6" spans="1:10" x14ac:dyDescent="0.25">
      <c r="A6" t="s">
        <v>35</v>
      </c>
      <c r="B6" t="s">
        <v>36</v>
      </c>
      <c r="C6" t="s">
        <v>37</v>
      </c>
      <c r="D6" t="s">
        <v>26</v>
      </c>
      <c r="E6" t="s">
        <v>27</v>
      </c>
      <c r="F6" t="s">
        <v>28</v>
      </c>
      <c r="G6">
        <v>8</v>
      </c>
      <c r="H6">
        <v>683.28</v>
      </c>
      <c r="I6">
        <v>5</v>
      </c>
      <c r="J6" t="s">
        <v>16</v>
      </c>
    </row>
    <row r="7" spans="1:10" x14ac:dyDescent="0.25">
      <c r="A7" t="s">
        <v>38</v>
      </c>
      <c r="B7" t="s">
        <v>39</v>
      </c>
      <c r="C7" t="s">
        <v>40</v>
      </c>
      <c r="D7" t="s">
        <v>41</v>
      </c>
      <c r="E7" t="s">
        <v>27</v>
      </c>
      <c r="F7" t="s">
        <v>42</v>
      </c>
      <c r="G7">
        <v>8</v>
      </c>
      <c r="H7">
        <v>1146</v>
      </c>
      <c r="I7">
        <v>15</v>
      </c>
      <c r="J7" t="s">
        <v>22</v>
      </c>
    </row>
    <row r="8" spans="1:10" x14ac:dyDescent="0.25">
      <c r="A8" t="s">
        <v>43</v>
      </c>
      <c r="B8" t="s">
        <v>44</v>
      </c>
      <c r="C8" t="s">
        <v>45</v>
      </c>
      <c r="D8" t="s">
        <v>41</v>
      </c>
      <c r="E8" t="s">
        <v>33</v>
      </c>
      <c r="F8" t="s">
        <v>46</v>
      </c>
      <c r="G8">
        <v>4</v>
      </c>
      <c r="H8">
        <v>510.82</v>
      </c>
      <c r="I8">
        <v>0</v>
      </c>
      <c r="J8" t="s">
        <v>47</v>
      </c>
    </row>
    <row r="9" spans="1:10" x14ac:dyDescent="0.25">
      <c r="A9" t="s">
        <v>48</v>
      </c>
      <c r="B9" t="s">
        <v>49</v>
      </c>
      <c r="C9" t="s">
        <v>50</v>
      </c>
      <c r="D9" t="s">
        <v>41</v>
      </c>
      <c r="E9" t="s">
        <v>27</v>
      </c>
      <c r="F9" t="s">
        <v>51</v>
      </c>
      <c r="G9">
        <v>10</v>
      </c>
      <c r="H9">
        <v>671.35</v>
      </c>
      <c r="I9">
        <v>10</v>
      </c>
      <c r="J9" t="s">
        <v>47</v>
      </c>
    </row>
    <row r="10" spans="1:10" x14ac:dyDescent="0.25">
      <c r="A10" t="s">
        <v>52</v>
      </c>
      <c r="B10" t="s">
        <v>53</v>
      </c>
      <c r="C10" t="s">
        <v>40</v>
      </c>
      <c r="D10" t="s">
        <v>20</v>
      </c>
      <c r="E10" t="s">
        <v>27</v>
      </c>
      <c r="F10" t="s">
        <v>51</v>
      </c>
      <c r="G10">
        <v>2</v>
      </c>
      <c r="H10">
        <v>975.92</v>
      </c>
      <c r="I10">
        <v>10</v>
      </c>
      <c r="J10" t="s">
        <v>16</v>
      </c>
    </row>
    <row r="11" spans="1:10" x14ac:dyDescent="0.25">
      <c r="A11" t="s">
        <v>54</v>
      </c>
      <c r="B11" t="s">
        <v>55</v>
      </c>
      <c r="C11" t="s">
        <v>19</v>
      </c>
      <c r="D11" t="s">
        <v>41</v>
      </c>
      <c r="E11" t="s">
        <v>14</v>
      </c>
      <c r="F11" t="s">
        <v>15</v>
      </c>
      <c r="G11">
        <v>5</v>
      </c>
      <c r="H11">
        <v>738.08</v>
      </c>
      <c r="I11">
        <v>5</v>
      </c>
      <c r="J11" t="s">
        <v>16</v>
      </c>
    </row>
    <row r="12" spans="1:10" x14ac:dyDescent="0.25">
      <c r="A12" t="s">
        <v>56</v>
      </c>
      <c r="B12" t="s">
        <v>57</v>
      </c>
      <c r="C12" t="s">
        <v>58</v>
      </c>
      <c r="D12" t="s">
        <v>41</v>
      </c>
      <c r="E12" t="s">
        <v>14</v>
      </c>
      <c r="F12" t="s">
        <v>21</v>
      </c>
      <c r="G12">
        <v>3</v>
      </c>
      <c r="H12">
        <v>1100.57</v>
      </c>
      <c r="I12">
        <v>5</v>
      </c>
      <c r="J12" t="s">
        <v>22</v>
      </c>
    </row>
    <row r="13" spans="1:10" x14ac:dyDescent="0.25">
      <c r="A13" t="s">
        <v>59</v>
      </c>
      <c r="B13" t="s">
        <v>60</v>
      </c>
      <c r="C13" t="s">
        <v>61</v>
      </c>
      <c r="D13" t="s">
        <v>41</v>
      </c>
      <c r="E13" t="s">
        <v>62</v>
      </c>
      <c r="F13" t="s">
        <v>63</v>
      </c>
      <c r="G13">
        <v>5</v>
      </c>
      <c r="H13">
        <v>652.66999999999996</v>
      </c>
      <c r="I13">
        <v>10</v>
      </c>
      <c r="J13" t="s">
        <v>47</v>
      </c>
    </row>
    <row r="14" spans="1:10" x14ac:dyDescent="0.25">
      <c r="A14" t="s">
        <v>64</v>
      </c>
      <c r="B14" t="s">
        <v>65</v>
      </c>
      <c r="C14" t="s">
        <v>66</v>
      </c>
      <c r="D14" t="s">
        <v>13</v>
      </c>
      <c r="E14" t="s">
        <v>33</v>
      </c>
      <c r="F14" t="s">
        <v>34</v>
      </c>
      <c r="G14">
        <v>9</v>
      </c>
      <c r="H14">
        <v>426.9</v>
      </c>
      <c r="I14">
        <v>0</v>
      </c>
      <c r="J14" t="s">
        <v>47</v>
      </c>
    </row>
    <row r="15" spans="1:10" x14ac:dyDescent="0.25">
      <c r="A15" t="s">
        <v>67</v>
      </c>
      <c r="B15" t="s">
        <v>68</v>
      </c>
      <c r="C15" t="s">
        <v>69</v>
      </c>
      <c r="D15" t="s">
        <v>13</v>
      </c>
      <c r="E15" t="s">
        <v>27</v>
      </c>
      <c r="F15" t="s">
        <v>51</v>
      </c>
      <c r="G15">
        <v>4</v>
      </c>
      <c r="H15">
        <v>325.31</v>
      </c>
      <c r="I15">
        <v>15</v>
      </c>
      <c r="J15" t="s">
        <v>16</v>
      </c>
    </row>
    <row r="16" spans="1:10" x14ac:dyDescent="0.25">
      <c r="A16" t="s">
        <v>70</v>
      </c>
      <c r="B16" t="s">
        <v>71</v>
      </c>
      <c r="C16" t="s">
        <v>72</v>
      </c>
      <c r="D16" t="s">
        <v>20</v>
      </c>
      <c r="E16" t="s">
        <v>62</v>
      </c>
      <c r="F16" t="s">
        <v>73</v>
      </c>
      <c r="G16">
        <v>8</v>
      </c>
      <c r="H16">
        <v>619.88</v>
      </c>
      <c r="I16">
        <v>15</v>
      </c>
      <c r="J16" t="s">
        <v>29</v>
      </c>
    </row>
    <row r="17" spans="1:10" x14ac:dyDescent="0.25">
      <c r="A17" t="s">
        <v>17</v>
      </c>
      <c r="B17" t="s">
        <v>74</v>
      </c>
      <c r="C17" t="s">
        <v>75</v>
      </c>
      <c r="D17" t="s">
        <v>41</v>
      </c>
      <c r="E17" t="s">
        <v>14</v>
      </c>
      <c r="F17" t="s">
        <v>76</v>
      </c>
      <c r="G17">
        <v>5</v>
      </c>
      <c r="H17">
        <v>812.2</v>
      </c>
      <c r="I17">
        <v>15</v>
      </c>
      <c r="J17" t="s">
        <v>16</v>
      </c>
    </row>
    <row r="18" spans="1:10" x14ac:dyDescent="0.25">
      <c r="A18" t="s">
        <v>77</v>
      </c>
      <c r="B18" t="s">
        <v>78</v>
      </c>
      <c r="C18" t="s">
        <v>66</v>
      </c>
      <c r="D18" t="s">
        <v>26</v>
      </c>
      <c r="E18" t="s">
        <v>62</v>
      </c>
      <c r="F18" t="s">
        <v>79</v>
      </c>
      <c r="G18">
        <v>9</v>
      </c>
      <c r="H18">
        <v>1053.95</v>
      </c>
      <c r="I18">
        <v>0</v>
      </c>
      <c r="J18" t="s">
        <v>22</v>
      </c>
    </row>
    <row r="19" spans="1:10" x14ac:dyDescent="0.25">
      <c r="A19" t="s">
        <v>80</v>
      </c>
      <c r="B19" t="s">
        <v>81</v>
      </c>
      <c r="C19" t="s">
        <v>69</v>
      </c>
      <c r="D19" t="s">
        <v>20</v>
      </c>
      <c r="E19" t="s">
        <v>33</v>
      </c>
      <c r="F19" t="s">
        <v>82</v>
      </c>
      <c r="G19">
        <v>9</v>
      </c>
      <c r="H19">
        <v>661.64</v>
      </c>
      <c r="I19">
        <v>0</v>
      </c>
      <c r="J19" t="s">
        <v>22</v>
      </c>
    </row>
    <row r="20" spans="1:10" x14ac:dyDescent="0.25">
      <c r="A20" t="s">
        <v>83</v>
      </c>
      <c r="B20" t="s">
        <v>84</v>
      </c>
      <c r="C20" t="s">
        <v>85</v>
      </c>
      <c r="D20" t="s">
        <v>41</v>
      </c>
      <c r="E20" t="s">
        <v>62</v>
      </c>
      <c r="F20" t="s">
        <v>73</v>
      </c>
      <c r="G20">
        <v>5</v>
      </c>
      <c r="H20">
        <v>513.52</v>
      </c>
      <c r="I20">
        <v>0</v>
      </c>
      <c r="J20" t="s">
        <v>22</v>
      </c>
    </row>
    <row r="21" spans="1:10" x14ac:dyDescent="0.25">
      <c r="A21" t="s">
        <v>86</v>
      </c>
      <c r="B21" t="s">
        <v>87</v>
      </c>
      <c r="C21" t="s">
        <v>88</v>
      </c>
      <c r="D21" t="s">
        <v>26</v>
      </c>
      <c r="E21" t="s">
        <v>14</v>
      </c>
      <c r="F21" t="s">
        <v>21</v>
      </c>
      <c r="G21">
        <v>4</v>
      </c>
      <c r="H21">
        <v>391.3</v>
      </c>
      <c r="I21">
        <v>5</v>
      </c>
      <c r="J21" t="s">
        <v>16</v>
      </c>
    </row>
    <row r="22" spans="1:10" x14ac:dyDescent="0.25">
      <c r="A22" t="s">
        <v>89</v>
      </c>
      <c r="B22" t="s">
        <v>90</v>
      </c>
      <c r="C22" t="s">
        <v>91</v>
      </c>
      <c r="D22" t="s">
        <v>20</v>
      </c>
      <c r="E22" t="s">
        <v>62</v>
      </c>
      <c r="F22" t="s">
        <v>92</v>
      </c>
      <c r="G22">
        <v>9</v>
      </c>
      <c r="H22">
        <v>201.61</v>
      </c>
      <c r="I22">
        <v>10</v>
      </c>
      <c r="J22" t="s">
        <v>29</v>
      </c>
    </row>
    <row r="23" spans="1:10" x14ac:dyDescent="0.25">
      <c r="A23" t="s">
        <v>93</v>
      </c>
      <c r="B23" t="s">
        <v>94</v>
      </c>
      <c r="C23" t="s">
        <v>12</v>
      </c>
      <c r="D23" t="s">
        <v>41</v>
      </c>
      <c r="E23" t="s">
        <v>27</v>
      </c>
      <c r="F23" t="s">
        <v>28</v>
      </c>
      <c r="G23">
        <v>7</v>
      </c>
      <c r="H23">
        <v>522.54</v>
      </c>
      <c r="I23">
        <v>10</v>
      </c>
      <c r="J23" t="s">
        <v>22</v>
      </c>
    </row>
    <row r="24" spans="1:10" x14ac:dyDescent="0.25">
      <c r="A24" t="s">
        <v>95</v>
      </c>
      <c r="B24" t="s">
        <v>96</v>
      </c>
      <c r="C24" t="s">
        <v>97</v>
      </c>
      <c r="D24" t="s">
        <v>13</v>
      </c>
      <c r="E24" t="s">
        <v>14</v>
      </c>
      <c r="F24" t="s">
        <v>76</v>
      </c>
      <c r="G24">
        <v>8</v>
      </c>
      <c r="H24">
        <v>155.5</v>
      </c>
      <c r="I24">
        <v>5</v>
      </c>
      <c r="J24" t="s">
        <v>98</v>
      </c>
    </row>
    <row r="25" spans="1:10" x14ac:dyDescent="0.25">
      <c r="A25" t="s">
        <v>99</v>
      </c>
      <c r="B25" t="s">
        <v>100</v>
      </c>
      <c r="C25" t="s">
        <v>101</v>
      </c>
      <c r="D25" t="s">
        <v>41</v>
      </c>
      <c r="E25" t="s">
        <v>62</v>
      </c>
      <c r="F25" t="s">
        <v>73</v>
      </c>
      <c r="G25">
        <v>6</v>
      </c>
      <c r="H25">
        <v>484.42</v>
      </c>
      <c r="I25">
        <v>0</v>
      </c>
      <c r="J25" t="s">
        <v>29</v>
      </c>
    </row>
    <row r="26" spans="1:10" x14ac:dyDescent="0.25">
      <c r="A26" t="s">
        <v>102</v>
      </c>
      <c r="B26" t="s">
        <v>103</v>
      </c>
      <c r="C26" t="s">
        <v>104</v>
      </c>
      <c r="D26" t="s">
        <v>20</v>
      </c>
      <c r="E26" t="s">
        <v>33</v>
      </c>
      <c r="F26" t="s">
        <v>46</v>
      </c>
      <c r="G26">
        <v>7</v>
      </c>
      <c r="H26">
        <v>300.05</v>
      </c>
      <c r="I26">
        <v>10</v>
      </c>
      <c r="J26" t="s">
        <v>29</v>
      </c>
    </row>
    <row r="27" spans="1:10" x14ac:dyDescent="0.25">
      <c r="A27" t="s">
        <v>105</v>
      </c>
      <c r="B27" t="s">
        <v>106</v>
      </c>
      <c r="C27" t="s">
        <v>107</v>
      </c>
      <c r="D27" t="s">
        <v>13</v>
      </c>
      <c r="E27" t="s">
        <v>27</v>
      </c>
      <c r="F27" t="s">
        <v>28</v>
      </c>
      <c r="G27">
        <v>6</v>
      </c>
      <c r="H27">
        <v>824.26</v>
      </c>
      <c r="I27">
        <v>15</v>
      </c>
      <c r="J27" t="s">
        <v>108</v>
      </c>
    </row>
    <row r="28" spans="1:10" x14ac:dyDescent="0.25">
      <c r="A28" t="s">
        <v>109</v>
      </c>
      <c r="B28" t="s">
        <v>110</v>
      </c>
      <c r="C28" t="s">
        <v>19</v>
      </c>
      <c r="D28" t="s">
        <v>20</v>
      </c>
      <c r="E28" t="s">
        <v>33</v>
      </c>
      <c r="F28" t="s">
        <v>34</v>
      </c>
      <c r="G28">
        <v>3</v>
      </c>
      <c r="H28">
        <v>670.14</v>
      </c>
      <c r="I28">
        <v>5</v>
      </c>
      <c r="J28" t="s">
        <v>47</v>
      </c>
    </row>
    <row r="29" spans="1:10" x14ac:dyDescent="0.25">
      <c r="A29" t="s">
        <v>89</v>
      </c>
      <c r="B29" t="s">
        <v>111</v>
      </c>
      <c r="C29" t="s">
        <v>112</v>
      </c>
      <c r="D29" t="s">
        <v>13</v>
      </c>
      <c r="E29" t="s">
        <v>33</v>
      </c>
      <c r="F29" t="s">
        <v>82</v>
      </c>
      <c r="G29">
        <v>2</v>
      </c>
      <c r="H29">
        <v>151.74</v>
      </c>
      <c r="I29">
        <v>0</v>
      </c>
      <c r="J29" t="s">
        <v>47</v>
      </c>
    </row>
    <row r="30" spans="1:10" x14ac:dyDescent="0.25">
      <c r="A30" t="s">
        <v>113</v>
      </c>
      <c r="B30" t="s">
        <v>114</v>
      </c>
      <c r="C30" t="s">
        <v>75</v>
      </c>
      <c r="D30" t="s">
        <v>20</v>
      </c>
      <c r="E30" t="s">
        <v>14</v>
      </c>
      <c r="F30" t="s">
        <v>76</v>
      </c>
      <c r="G30">
        <v>1</v>
      </c>
      <c r="H30">
        <v>652.22</v>
      </c>
      <c r="I30">
        <v>0</v>
      </c>
      <c r="J30" t="s">
        <v>108</v>
      </c>
    </row>
    <row r="31" spans="1:10" x14ac:dyDescent="0.25">
      <c r="A31" t="s">
        <v>115</v>
      </c>
      <c r="B31" t="s">
        <v>116</v>
      </c>
      <c r="C31" t="s">
        <v>117</v>
      </c>
      <c r="D31" t="s">
        <v>13</v>
      </c>
      <c r="E31" t="s">
        <v>33</v>
      </c>
      <c r="F31" t="s">
        <v>46</v>
      </c>
      <c r="G31">
        <v>2</v>
      </c>
      <c r="H31">
        <v>951.04</v>
      </c>
      <c r="I31">
        <v>0</v>
      </c>
      <c r="J31" t="s">
        <v>47</v>
      </c>
    </row>
    <row r="32" spans="1:10" x14ac:dyDescent="0.25">
      <c r="A32" t="s">
        <v>118</v>
      </c>
      <c r="B32" t="s">
        <v>119</v>
      </c>
      <c r="C32" t="s">
        <v>12</v>
      </c>
      <c r="D32" t="s">
        <v>41</v>
      </c>
      <c r="E32" t="s">
        <v>27</v>
      </c>
      <c r="F32" t="s">
        <v>51</v>
      </c>
      <c r="G32">
        <v>7</v>
      </c>
      <c r="H32">
        <v>623.26</v>
      </c>
      <c r="I32">
        <v>5</v>
      </c>
      <c r="J32" t="s">
        <v>47</v>
      </c>
    </row>
    <row r="33" spans="1:10" x14ac:dyDescent="0.25">
      <c r="A33" t="s">
        <v>120</v>
      </c>
      <c r="B33" t="s">
        <v>121</v>
      </c>
      <c r="C33" t="s">
        <v>61</v>
      </c>
      <c r="D33" t="s">
        <v>26</v>
      </c>
      <c r="E33" t="s">
        <v>33</v>
      </c>
      <c r="F33" t="s">
        <v>46</v>
      </c>
      <c r="G33">
        <v>8</v>
      </c>
      <c r="H33">
        <v>344.44</v>
      </c>
      <c r="I33">
        <v>5</v>
      </c>
      <c r="J33" t="s">
        <v>47</v>
      </c>
    </row>
    <row r="34" spans="1:10" x14ac:dyDescent="0.25">
      <c r="A34" t="s">
        <v>122</v>
      </c>
      <c r="B34" t="s">
        <v>123</v>
      </c>
      <c r="C34" t="s">
        <v>124</v>
      </c>
      <c r="D34" t="s">
        <v>13</v>
      </c>
      <c r="E34" t="s">
        <v>14</v>
      </c>
      <c r="F34" t="s">
        <v>15</v>
      </c>
      <c r="G34">
        <v>9</v>
      </c>
      <c r="H34">
        <v>1193.76</v>
      </c>
      <c r="I34">
        <v>0</v>
      </c>
      <c r="J34" t="s">
        <v>98</v>
      </c>
    </row>
    <row r="35" spans="1:10" x14ac:dyDescent="0.25">
      <c r="A35" t="s">
        <v>125</v>
      </c>
      <c r="B35" t="s">
        <v>126</v>
      </c>
      <c r="C35" t="s">
        <v>61</v>
      </c>
      <c r="D35" t="s">
        <v>26</v>
      </c>
      <c r="E35" t="s">
        <v>14</v>
      </c>
      <c r="F35" t="s">
        <v>15</v>
      </c>
      <c r="G35">
        <v>5</v>
      </c>
      <c r="H35">
        <v>242.87</v>
      </c>
      <c r="I35">
        <v>15</v>
      </c>
      <c r="J35" t="s">
        <v>16</v>
      </c>
    </row>
    <row r="36" spans="1:10" x14ac:dyDescent="0.25">
      <c r="A36" t="s">
        <v>127</v>
      </c>
      <c r="B36" t="s">
        <v>128</v>
      </c>
      <c r="C36" t="s">
        <v>129</v>
      </c>
      <c r="D36" t="s">
        <v>13</v>
      </c>
      <c r="E36" t="s">
        <v>62</v>
      </c>
      <c r="F36" t="s">
        <v>73</v>
      </c>
      <c r="G36">
        <v>8</v>
      </c>
      <c r="H36">
        <v>417.13</v>
      </c>
      <c r="I36">
        <v>15</v>
      </c>
      <c r="J36" t="s">
        <v>29</v>
      </c>
    </row>
    <row r="37" spans="1:10" x14ac:dyDescent="0.25">
      <c r="A37" t="s">
        <v>130</v>
      </c>
      <c r="B37" t="s">
        <v>131</v>
      </c>
      <c r="C37" t="s">
        <v>132</v>
      </c>
      <c r="D37" t="s">
        <v>20</v>
      </c>
      <c r="E37" t="s">
        <v>33</v>
      </c>
      <c r="F37" t="s">
        <v>46</v>
      </c>
      <c r="G37">
        <v>10</v>
      </c>
      <c r="H37">
        <v>34.159999999999997</v>
      </c>
      <c r="I37">
        <v>15</v>
      </c>
      <c r="J37" t="s">
        <v>22</v>
      </c>
    </row>
    <row r="38" spans="1:10" x14ac:dyDescent="0.25">
      <c r="A38" t="s">
        <v>133</v>
      </c>
      <c r="B38" t="s">
        <v>134</v>
      </c>
      <c r="C38" t="s">
        <v>135</v>
      </c>
      <c r="D38" t="s">
        <v>20</v>
      </c>
      <c r="E38" t="s">
        <v>62</v>
      </c>
      <c r="F38" t="s">
        <v>63</v>
      </c>
      <c r="G38">
        <v>8</v>
      </c>
      <c r="H38">
        <v>208.45</v>
      </c>
      <c r="I38">
        <v>5</v>
      </c>
      <c r="J38" t="s">
        <v>98</v>
      </c>
    </row>
    <row r="39" spans="1:10" x14ac:dyDescent="0.25">
      <c r="A39" t="s">
        <v>136</v>
      </c>
      <c r="B39" t="s">
        <v>137</v>
      </c>
      <c r="C39" t="s">
        <v>50</v>
      </c>
      <c r="D39" t="s">
        <v>26</v>
      </c>
      <c r="E39" t="s">
        <v>62</v>
      </c>
      <c r="F39" t="s">
        <v>63</v>
      </c>
      <c r="G39">
        <v>8</v>
      </c>
      <c r="H39">
        <v>1118.33</v>
      </c>
      <c r="I39">
        <v>0</v>
      </c>
      <c r="J39" t="s">
        <v>22</v>
      </c>
    </row>
    <row r="40" spans="1:10" x14ac:dyDescent="0.25">
      <c r="A40" t="s">
        <v>138</v>
      </c>
      <c r="B40" t="s">
        <v>139</v>
      </c>
      <c r="C40" t="s">
        <v>25</v>
      </c>
      <c r="D40" t="s">
        <v>13</v>
      </c>
      <c r="E40" t="s">
        <v>27</v>
      </c>
      <c r="F40" t="s">
        <v>42</v>
      </c>
      <c r="G40">
        <v>9</v>
      </c>
      <c r="H40">
        <v>659.81</v>
      </c>
      <c r="I40">
        <v>10</v>
      </c>
      <c r="J40" t="s">
        <v>108</v>
      </c>
    </row>
    <row r="41" spans="1:10" x14ac:dyDescent="0.25">
      <c r="A41" t="s">
        <v>140</v>
      </c>
      <c r="B41" t="s">
        <v>141</v>
      </c>
      <c r="C41" t="s">
        <v>142</v>
      </c>
      <c r="D41" t="s">
        <v>41</v>
      </c>
      <c r="E41" t="s">
        <v>14</v>
      </c>
      <c r="F41" t="s">
        <v>76</v>
      </c>
      <c r="G41">
        <v>3</v>
      </c>
      <c r="H41">
        <v>782.19</v>
      </c>
      <c r="I41">
        <v>0</v>
      </c>
      <c r="J41" t="s">
        <v>29</v>
      </c>
    </row>
    <row r="42" spans="1:10" x14ac:dyDescent="0.25">
      <c r="A42" t="s">
        <v>143</v>
      </c>
      <c r="B42" t="s">
        <v>144</v>
      </c>
      <c r="C42" t="s">
        <v>145</v>
      </c>
      <c r="D42" t="s">
        <v>41</v>
      </c>
      <c r="E42" t="s">
        <v>62</v>
      </c>
      <c r="F42" t="s">
        <v>63</v>
      </c>
      <c r="G42">
        <v>3</v>
      </c>
      <c r="H42">
        <v>463.24</v>
      </c>
      <c r="I42">
        <v>0</v>
      </c>
      <c r="J42" t="s">
        <v>98</v>
      </c>
    </row>
    <row r="43" spans="1:10" x14ac:dyDescent="0.25">
      <c r="A43" t="s">
        <v>146</v>
      </c>
      <c r="B43" t="s">
        <v>147</v>
      </c>
      <c r="C43" t="s">
        <v>117</v>
      </c>
      <c r="D43" t="s">
        <v>41</v>
      </c>
      <c r="E43" t="s">
        <v>62</v>
      </c>
      <c r="F43" t="s">
        <v>63</v>
      </c>
      <c r="G43">
        <v>4</v>
      </c>
      <c r="H43">
        <v>251.67</v>
      </c>
      <c r="I43">
        <v>15</v>
      </c>
      <c r="J43" t="s">
        <v>108</v>
      </c>
    </row>
    <row r="44" spans="1:10" x14ac:dyDescent="0.25">
      <c r="A44" t="s">
        <v>148</v>
      </c>
      <c r="B44" t="s">
        <v>149</v>
      </c>
      <c r="C44" t="s">
        <v>150</v>
      </c>
      <c r="D44" t="s">
        <v>41</v>
      </c>
      <c r="E44" t="s">
        <v>14</v>
      </c>
      <c r="F44" t="s">
        <v>21</v>
      </c>
      <c r="G44">
        <v>10</v>
      </c>
      <c r="H44">
        <v>160.44999999999999</v>
      </c>
      <c r="I44">
        <v>10</v>
      </c>
      <c r="J44" t="s">
        <v>47</v>
      </c>
    </row>
    <row r="45" spans="1:10" x14ac:dyDescent="0.25">
      <c r="A45" t="s">
        <v>151</v>
      </c>
      <c r="B45" t="s">
        <v>152</v>
      </c>
      <c r="C45" t="s">
        <v>101</v>
      </c>
      <c r="D45" t="s">
        <v>20</v>
      </c>
      <c r="E45" t="s">
        <v>14</v>
      </c>
      <c r="F45" t="s">
        <v>21</v>
      </c>
      <c r="G45">
        <v>6</v>
      </c>
      <c r="H45">
        <v>704.75</v>
      </c>
      <c r="I45">
        <v>15</v>
      </c>
      <c r="J45" t="s">
        <v>22</v>
      </c>
    </row>
    <row r="46" spans="1:10" x14ac:dyDescent="0.25">
      <c r="A46" t="s">
        <v>153</v>
      </c>
      <c r="B46" t="s">
        <v>154</v>
      </c>
      <c r="C46" t="s">
        <v>155</v>
      </c>
      <c r="D46" t="s">
        <v>13</v>
      </c>
      <c r="E46" t="s">
        <v>14</v>
      </c>
      <c r="F46" t="s">
        <v>76</v>
      </c>
      <c r="G46">
        <v>7</v>
      </c>
      <c r="H46">
        <v>924.92</v>
      </c>
      <c r="I46">
        <v>10</v>
      </c>
      <c r="J46" t="s">
        <v>29</v>
      </c>
    </row>
    <row r="47" spans="1:10" x14ac:dyDescent="0.25">
      <c r="A47" t="s">
        <v>156</v>
      </c>
      <c r="B47" t="s">
        <v>157</v>
      </c>
      <c r="C47" t="s">
        <v>158</v>
      </c>
      <c r="D47" t="s">
        <v>20</v>
      </c>
      <c r="E47" t="s">
        <v>27</v>
      </c>
      <c r="F47" t="s">
        <v>28</v>
      </c>
      <c r="G47">
        <v>8</v>
      </c>
      <c r="H47">
        <v>504.11</v>
      </c>
      <c r="I47">
        <v>0</v>
      </c>
      <c r="J47" t="s">
        <v>16</v>
      </c>
    </row>
    <row r="48" spans="1:10" x14ac:dyDescent="0.25">
      <c r="A48" t="s">
        <v>159</v>
      </c>
      <c r="B48" t="s">
        <v>160</v>
      </c>
      <c r="C48" t="s">
        <v>37</v>
      </c>
      <c r="D48" t="s">
        <v>41</v>
      </c>
      <c r="E48" t="s">
        <v>62</v>
      </c>
      <c r="F48" t="s">
        <v>73</v>
      </c>
      <c r="G48">
        <v>6</v>
      </c>
      <c r="H48">
        <v>24.67</v>
      </c>
      <c r="I48">
        <v>10</v>
      </c>
      <c r="J48" t="s">
        <v>108</v>
      </c>
    </row>
    <row r="49" spans="1:10" x14ac:dyDescent="0.25">
      <c r="A49" t="s">
        <v>67</v>
      </c>
      <c r="B49" t="s">
        <v>161</v>
      </c>
      <c r="C49" t="s">
        <v>117</v>
      </c>
      <c r="D49" t="s">
        <v>26</v>
      </c>
      <c r="E49" t="s">
        <v>62</v>
      </c>
      <c r="F49" t="s">
        <v>63</v>
      </c>
      <c r="G49">
        <v>2</v>
      </c>
      <c r="H49">
        <v>399.93</v>
      </c>
      <c r="I49">
        <v>10</v>
      </c>
      <c r="J49" t="s">
        <v>47</v>
      </c>
    </row>
    <row r="50" spans="1:10" x14ac:dyDescent="0.25">
      <c r="A50" t="s">
        <v>162</v>
      </c>
      <c r="B50" t="s">
        <v>163</v>
      </c>
      <c r="C50" t="s">
        <v>19</v>
      </c>
      <c r="D50" t="s">
        <v>41</v>
      </c>
      <c r="E50" t="s">
        <v>14</v>
      </c>
      <c r="F50" t="s">
        <v>21</v>
      </c>
      <c r="G50">
        <v>2</v>
      </c>
      <c r="H50">
        <v>98.62</v>
      </c>
      <c r="I50">
        <v>0</v>
      </c>
      <c r="J50" t="s">
        <v>22</v>
      </c>
    </row>
    <row r="51" spans="1:10" x14ac:dyDescent="0.25">
      <c r="A51" t="s">
        <v>164</v>
      </c>
      <c r="B51" t="s">
        <v>165</v>
      </c>
      <c r="C51" t="s">
        <v>75</v>
      </c>
      <c r="D51" t="s">
        <v>13</v>
      </c>
      <c r="E51" t="s">
        <v>33</v>
      </c>
      <c r="F51" t="s">
        <v>46</v>
      </c>
      <c r="G51">
        <v>10</v>
      </c>
      <c r="H51">
        <v>998.64</v>
      </c>
      <c r="I51">
        <v>15</v>
      </c>
      <c r="J51" t="s">
        <v>47</v>
      </c>
    </row>
    <row r="52" spans="1:10" x14ac:dyDescent="0.25">
      <c r="A52" t="s">
        <v>166</v>
      </c>
      <c r="B52" t="s">
        <v>167</v>
      </c>
      <c r="C52" t="s">
        <v>168</v>
      </c>
      <c r="D52" t="s">
        <v>26</v>
      </c>
      <c r="E52" t="s">
        <v>27</v>
      </c>
      <c r="F52" t="s">
        <v>28</v>
      </c>
      <c r="G52">
        <v>10</v>
      </c>
      <c r="H52">
        <v>520.30999999999995</v>
      </c>
      <c r="I52">
        <v>0</v>
      </c>
      <c r="J52" t="s">
        <v>16</v>
      </c>
    </row>
    <row r="53" spans="1:10" x14ac:dyDescent="0.25">
      <c r="A53" t="s">
        <v>70</v>
      </c>
      <c r="B53" t="s">
        <v>169</v>
      </c>
      <c r="C53" t="s">
        <v>170</v>
      </c>
      <c r="D53" t="s">
        <v>41</v>
      </c>
      <c r="E53" t="s">
        <v>33</v>
      </c>
      <c r="F53" t="s">
        <v>34</v>
      </c>
      <c r="G53">
        <v>6</v>
      </c>
      <c r="H53">
        <v>166.21</v>
      </c>
      <c r="I53">
        <v>0</v>
      </c>
      <c r="J53" t="s">
        <v>98</v>
      </c>
    </row>
    <row r="54" spans="1:10" x14ac:dyDescent="0.25">
      <c r="A54" t="s">
        <v>171</v>
      </c>
      <c r="B54" t="s">
        <v>172</v>
      </c>
      <c r="C54" t="s">
        <v>12</v>
      </c>
      <c r="D54" t="s">
        <v>20</v>
      </c>
      <c r="E54" t="s">
        <v>14</v>
      </c>
      <c r="F54" t="s">
        <v>15</v>
      </c>
      <c r="G54">
        <v>10</v>
      </c>
      <c r="H54">
        <v>225.99</v>
      </c>
      <c r="I54">
        <v>10</v>
      </c>
      <c r="J54" t="s">
        <v>98</v>
      </c>
    </row>
    <row r="55" spans="1:10" x14ac:dyDescent="0.25">
      <c r="A55" t="s">
        <v>173</v>
      </c>
      <c r="B55" t="s">
        <v>174</v>
      </c>
      <c r="C55" t="s">
        <v>175</v>
      </c>
      <c r="D55" t="s">
        <v>13</v>
      </c>
      <c r="E55" t="s">
        <v>33</v>
      </c>
      <c r="F55" t="s">
        <v>82</v>
      </c>
      <c r="G55">
        <v>6</v>
      </c>
      <c r="H55">
        <v>1097.42</v>
      </c>
      <c r="I55">
        <v>0</v>
      </c>
      <c r="J55" t="s">
        <v>98</v>
      </c>
    </row>
    <row r="56" spans="1:10" x14ac:dyDescent="0.25">
      <c r="A56" t="s">
        <v>176</v>
      </c>
      <c r="B56" t="s">
        <v>177</v>
      </c>
      <c r="C56" t="s">
        <v>40</v>
      </c>
      <c r="D56" t="s">
        <v>20</v>
      </c>
      <c r="E56" t="s">
        <v>27</v>
      </c>
      <c r="F56" t="s">
        <v>51</v>
      </c>
      <c r="G56">
        <v>10</v>
      </c>
      <c r="H56">
        <v>845.25</v>
      </c>
      <c r="I56">
        <v>10</v>
      </c>
      <c r="J56" t="s">
        <v>22</v>
      </c>
    </row>
    <row r="57" spans="1:10" x14ac:dyDescent="0.25">
      <c r="A57" t="s">
        <v>178</v>
      </c>
      <c r="B57" t="s">
        <v>179</v>
      </c>
      <c r="C57" t="s">
        <v>12</v>
      </c>
      <c r="D57" t="s">
        <v>13</v>
      </c>
      <c r="E57" t="s">
        <v>27</v>
      </c>
      <c r="F57" t="s">
        <v>42</v>
      </c>
      <c r="G57">
        <v>3</v>
      </c>
      <c r="H57">
        <v>1117.22</v>
      </c>
      <c r="I57">
        <v>5</v>
      </c>
      <c r="J57" t="s">
        <v>16</v>
      </c>
    </row>
    <row r="58" spans="1:10" x14ac:dyDescent="0.25">
      <c r="A58" t="s">
        <v>180</v>
      </c>
      <c r="B58" t="s">
        <v>181</v>
      </c>
      <c r="C58" t="s">
        <v>75</v>
      </c>
      <c r="D58" t="s">
        <v>20</v>
      </c>
      <c r="E58" t="s">
        <v>33</v>
      </c>
      <c r="F58" t="s">
        <v>82</v>
      </c>
      <c r="G58">
        <v>10</v>
      </c>
      <c r="H58">
        <v>1183.98</v>
      </c>
      <c r="I58">
        <v>15</v>
      </c>
      <c r="J58" t="s">
        <v>29</v>
      </c>
    </row>
    <row r="59" spans="1:10" x14ac:dyDescent="0.25">
      <c r="A59" t="s">
        <v>182</v>
      </c>
      <c r="B59" t="s">
        <v>183</v>
      </c>
      <c r="C59" t="s">
        <v>19</v>
      </c>
      <c r="D59" t="s">
        <v>20</v>
      </c>
      <c r="E59" t="s">
        <v>14</v>
      </c>
      <c r="F59" t="s">
        <v>76</v>
      </c>
      <c r="G59">
        <v>10</v>
      </c>
      <c r="H59">
        <v>742.25</v>
      </c>
      <c r="I59">
        <v>10</v>
      </c>
      <c r="J59" t="s">
        <v>16</v>
      </c>
    </row>
    <row r="60" spans="1:10" x14ac:dyDescent="0.25">
      <c r="A60" t="s">
        <v>184</v>
      </c>
      <c r="B60" t="s">
        <v>185</v>
      </c>
      <c r="C60" t="s">
        <v>186</v>
      </c>
      <c r="D60" t="s">
        <v>41</v>
      </c>
      <c r="E60" t="s">
        <v>62</v>
      </c>
      <c r="F60" t="s">
        <v>79</v>
      </c>
      <c r="G60">
        <v>8</v>
      </c>
      <c r="H60">
        <v>376.54</v>
      </c>
      <c r="I60">
        <v>5</v>
      </c>
      <c r="J60" t="s">
        <v>29</v>
      </c>
    </row>
    <row r="61" spans="1:10" x14ac:dyDescent="0.25">
      <c r="A61" t="s">
        <v>187</v>
      </c>
      <c r="B61" t="s">
        <v>188</v>
      </c>
      <c r="C61" t="s">
        <v>66</v>
      </c>
      <c r="D61" t="s">
        <v>26</v>
      </c>
      <c r="E61" t="s">
        <v>14</v>
      </c>
      <c r="F61" t="s">
        <v>15</v>
      </c>
      <c r="G61">
        <v>8</v>
      </c>
      <c r="H61">
        <v>1069.67</v>
      </c>
      <c r="I61">
        <v>10</v>
      </c>
      <c r="J61" t="s">
        <v>22</v>
      </c>
    </row>
    <row r="62" spans="1:10" x14ac:dyDescent="0.25">
      <c r="A62" t="s">
        <v>38</v>
      </c>
      <c r="B62" t="s">
        <v>189</v>
      </c>
      <c r="C62" t="s">
        <v>145</v>
      </c>
      <c r="D62" t="s">
        <v>41</v>
      </c>
      <c r="E62" t="s">
        <v>62</v>
      </c>
      <c r="F62" t="s">
        <v>79</v>
      </c>
      <c r="G62">
        <v>7</v>
      </c>
      <c r="H62">
        <v>797.72</v>
      </c>
      <c r="I62">
        <v>0</v>
      </c>
      <c r="J62" t="s">
        <v>22</v>
      </c>
    </row>
    <row r="63" spans="1:10" x14ac:dyDescent="0.25">
      <c r="A63" t="s">
        <v>190</v>
      </c>
      <c r="B63" t="s">
        <v>191</v>
      </c>
      <c r="C63" t="s">
        <v>192</v>
      </c>
      <c r="D63" t="s">
        <v>13</v>
      </c>
      <c r="E63" t="s">
        <v>62</v>
      </c>
      <c r="F63" t="s">
        <v>92</v>
      </c>
      <c r="G63">
        <v>2</v>
      </c>
      <c r="H63">
        <v>1091.08</v>
      </c>
      <c r="I63">
        <v>5</v>
      </c>
      <c r="J63" t="s">
        <v>22</v>
      </c>
    </row>
    <row r="64" spans="1:10" x14ac:dyDescent="0.25">
      <c r="A64" t="s">
        <v>193</v>
      </c>
      <c r="B64" t="s">
        <v>194</v>
      </c>
      <c r="C64" t="s">
        <v>150</v>
      </c>
      <c r="D64" t="s">
        <v>26</v>
      </c>
      <c r="E64" t="s">
        <v>33</v>
      </c>
      <c r="F64" t="s">
        <v>34</v>
      </c>
      <c r="G64">
        <v>6</v>
      </c>
      <c r="H64">
        <v>675.43</v>
      </c>
      <c r="I64">
        <v>0</v>
      </c>
      <c r="J64" t="s">
        <v>29</v>
      </c>
    </row>
    <row r="65" spans="1:10" x14ac:dyDescent="0.25">
      <c r="A65" t="s">
        <v>86</v>
      </c>
      <c r="B65" t="s">
        <v>195</v>
      </c>
      <c r="C65" t="s">
        <v>196</v>
      </c>
      <c r="D65" t="s">
        <v>41</v>
      </c>
      <c r="E65" t="s">
        <v>14</v>
      </c>
      <c r="F65" t="s">
        <v>76</v>
      </c>
      <c r="G65">
        <v>4</v>
      </c>
      <c r="H65">
        <v>282.35000000000002</v>
      </c>
      <c r="I65">
        <v>15</v>
      </c>
      <c r="J65" t="s">
        <v>47</v>
      </c>
    </row>
    <row r="66" spans="1:10" x14ac:dyDescent="0.25">
      <c r="A66" t="s">
        <v>197</v>
      </c>
      <c r="B66" t="s">
        <v>198</v>
      </c>
      <c r="C66" t="s">
        <v>19</v>
      </c>
      <c r="D66" t="s">
        <v>41</v>
      </c>
      <c r="E66" t="s">
        <v>62</v>
      </c>
      <c r="F66" t="s">
        <v>79</v>
      </c>
      <c r="G66">
        <v>1</v>
      </c>
      <c r="H66">
        <v>290.39999999999998</v>
      </c>
      <c r="I66">
        <v>5</v>
      </c>
      <c r="J66" t="s">
        <v>108</v>
      </c>
    </row>
    <row r="67" spans="1:10" x14ac:dyDescent="0.25">
      <c r="A67" t="s">
        <v>199</v>
      </c>
      <c r="B67" t="s">
        <v>200</v>
      </c>
      <c r="C67" t="s">
        <v>201</v>
      </c>
      <c r="D67" t="s">
        <v>13</v>
      </c>
      <c r="E67" t="s">
        <v>14</v>
      </c>
      <c r="F67" t="s">
        <v>76</v>
      </c>
      <c r="G67">
        <v>4</v>
      </c>
      <c r="H67">
        <v>803.88</v>
      </c>
      <c r="I67">
        <v>15</v>
      </c>
      <c r="J67" t="s">
        <v>29</v>
      </c>
    </row>
    <row r="68" spans="1:10" x14ac:dyDescent="0.25">
      <c r="A68" t="s">
        <v>202</v>
      </c>
      <c r="B68" t="s">
        <v>203</v>
      </c>
      <c r="C68" t="s">
        <v>204</v>
      </c>
      <c r="D68" t="s">
        <v>13</v>
      </c>
      <c r="E68" t="s">
        <v>14</v>
      </c>
      <c r="F68" t="s">
        <v>76</v>
      </c>
      <c r="G68">
        <v>4</v>
      </c>
      <c r="H68">
        <v>472.22</v>
      </c>
      <c r="I68">
        <v>5</v>
      </c>
      <c r="J68" t="s">
        <v>29</v>
      </c>
    </row>
    <row r="69" spans="1:10" x14ac:dyDescent="0.25">
      <c r="A69" t="s">
        <v>89</v>
      </c>
      <c r="B69" t="s">
        <v>205</v>
      </c>
      <c r="C69" t="s">
        <v>204</v>
      </c>
      <c r="D69" t="s">
        <v>41</v>
      </c>
      <c r="E69" t="s">
        <v>33</v>
      </c>
      <c r="F69" t="s">
        <v>34</v>
      </c>
      <c r="G69">
        <v>2</v>
      </c>
      <c r="H69">
        <v>944.48</v>
      </c>
      <c r="I69">
        <v>15</v>
      </c>
      <c r="J69" t="s">
        <v>16</v>
      </c>
    </row>
    <row r="70" spans="1:10" x14ac:dyDescent="0.25">
      <c r="A70" t="s">
        <v>206</v>
      </c>
      <c r="B70" t="s">
        <v>207</v>
      </c>
      <c r="C70" t="s">
        <v>201</v>
      </c>
      <c r="D70" t="s">
        <v>20</v>
      </c>
      <c r="E70" t="s">
        <v>33</v>
      </c>
      <c r="F70" t="s">
        <v>46</v>
      </c>
      <c r="G70">
        <v>4</v>
      </c>
      <c r="H70">
        <v>179.87</v>
      </c>
      <c r="I70">
        <v>10</v>
      </c>
      <c r="J70" t="s">
        <v>47</v>
      </c>
    </row>
    <row r="71" spans="1:10" x14ac:dyDescent="0.25">
      <c r="A71" t="s">
        <v>208</v>
      </c>
      <c r="B71" t="s">
        <v>209</v>
      </c>
      <c r="C71" t="s">
        <v>210</v>
      </c>
      <c r="D71" t="s">
        <v>26</v>
      </c>
      <c r="E71" t="s">
        <v>27</v>
      </c>
      <c r="F71" t="s">
        <v>51</v>
      </c>
      <c r="G71">
        <v>2</v>
      </c>
      <c r="H71">
        <v>521.23</v>
      </c>
      <c r="I71">
        <v>0</v>
      </c>
      <c r="J71" t="s">
        <v>108</v>
      </c>
    </row>
    <row r="72" spans="1:10" x14ac:dyDescent="0.25">
      <c r="A72" t="s">
        <v>211</v>
      </c>
      <c r="B72" t="s">
        <v>212</v>
      </c>
      <c r="C72" t="s">
        <v>213</v>
      </c>
      <c r="D72" t="s">
        <v>41</v>
      </c>
      <c r="E72" t="s">
        <v>62</v>
      </c>
      <c r="F72" t="s">
        <v>73</v>
      </c>
      <c r="G72">
        <v>3</v>
      </c>
      <c r="H72">
        <v>193.19</v>
      </c>
      <c r="I72">
        <v>10</v>
      </c>
      <c r="J72" t="s">
        <v>108</v>
      </c>
    </row>
    <row r="73" spans="1:10" x14ac:dyDescent="0.25">
      <c r="A73" t="s">
        <v>214</v>
      </c>
      <c r="B73" t="s">
        <v>215</v>
      </c>
      <c r="C73" t="s">
        <v>216</v>
      </c>
      <c r="D73" t="s">
        <v>41</v>
      </c>
      <c r="E73" t="s">
        <v>27</v>
      </c>
      <c r="F73" t="s">
        <v>51</v>
      </c>
      <c r="G73">
        <v>4</v>
      </c>
      <c r="H73">
        <v>316.89</v>
      </c>
      <c r="I73">
        <v>0</v>
      </c>
      <c r="J73" t="s">
        <v>22</v>
      </c>
    </row>
    <row r="74" spans="1:10" x14ac:dyDescent="0.25">
      <c r="A74" t="s">
        <v>217</v>
      </c>
      <c r="B74" t="s">
        <v>218</v>
      </c>
      <c r="C74" t="s">
        <v>192</v>
      </c>
      <c r="D74" t="s">
        <v>20</v>
      </c>
      <c r="E74" t="s">
        <v>33</v>
      </c>
      <c r="F74" t="s">
        <v>34</v>
      </c>
      <c r="G74">
        <v>9</v>
      </c>
      <c r="H74">
        <v>1030.72</v>
      </c>
      <c r="I74">
        <v>0</v>
      </c>
      <c r="J74" t="s">
        <v>108</v>
      </c>
    </row>
    <row r="75" spans="1:10" x14ac:dyDescent="0.25">
      <c r="A75" t="s">
        <v>219</v>
      </c>
      <c r="B75" t="s">
        <v>220</v>
      </c>
      <c r="C75" t="s">
        <v>88</v>
      </c>
      <c r="D75" t="s">
        <v>13</v>
      </c>
      <c r="E75" t="s">
        <v>33</v>
      </c>
      <c r="F75" t="s">
        <v>46</v>
      </c>
      <c r="G75">
        <v>10</v>
      </c>
      <c r="H75">
        <v>650.99</v>
      </c>
      <c r="I75">
        <v>10</v>
      </c>
      <c r="J75" t="s">
        <v>16</v>
      </c>
    </row>
    <row r="76" spans="1:10" x14ac:dyDescent="0.25">
      <c r="A76" t="s">
        <v>136</v>
      </c>
      <c r="B76" t="s">
        <v>221</v>
      </c>
      <c r="C76" t="s">
        <v>222</v>
      </c>
      <c r="D76" t="s">
        <v>20</v>
      </c>
      <c r="E76" t="s">
        <v>14</v>
      </c>
      <c r="F76" t="s">
        <v>76</v>
      </c>
      <c r="G76">
        <v>7</v>
      </c>
      <c r="H76">
        <v>864.97</v>
      </c>
      <c r="I76">
        <v>5</v>
      </c>
      <c r="J76" t="s">
        <v>29</v>
      </c>
    </row>
    <row r="77" spans="1:10" x14ac:dyDescent="0.25">
      <c r="A77" t="s">
        <v>162</v>
      </c>
      <c r="B77" t="s">
        <v>223</v>
      </c>
      <c r="C77" t="s">
        <v>210</v>
      </c>
      <c r="D77" t="s">
        <v>20</v>
      </c>
      <c r="E77" t="s">
        <v>27</v>
      </c>
      <c r="F77" t="s">
        <v>51</v>
      </c>
      <c r="G77">
        <v>7</v>
      </c>
      <c r="H77">
        <v>589.35</v>
      </c>
      <c r="I77">
        <v>10</v>
      </c>
      <c r="J77" t="s">
        <v>29</v>
      </c>
    </row>
    <row r="78" spans="1:10" x14ac:dyDescent="0.25">
      <c r="A78" t="s">
        <v>224</v>
      </c>
      <c r="B78" t="s">
        <v>225</v>
      </c>
      <c r="C78" t="s">
        <v>61</v>
      </c>
      <c r="D78" t="s">
        <v>20</v>
      </c>
      <c r="E78" t="s">
        <v>33</v>
      </c>
      <c r="F78" t="s">
        <v>46</v>
      </c>
      <c r="G78">
        <v>5</v>
      </c>
      <c r="H78">
        <v>944.13</v>
      </c>
      <c r="I78">
        <v>10</v>
      </c>
      <c r="J78" t="s">
        <v>22</v>
      </c>
    </row>
    <row r="79" spans="1:10" x14ac:dyDescent="0.25">
      <c r="A79" t="s">
        <v>226</v>
      </c>
      <c r="B79" t="s">
        <v>227</v>
      </c>
      <c r="C79" t="s">
        <v>61</v>
      </c>
      <c r="D79" t="s">
        <v>26</v>
      </c>
      <c r="E79" t="s">
        <v>27</v>
      </c>
      <c r="F79" t="s">
        <v>42</v>
      </c>
      <c r="G79">
        <v>8</v>
      </c>
      <c r="H79">
        <v>534.97</v>
      </c>
      <c r="I79">
        <v>15</v>
      </c>
      <c r="J79" t="s">
        <v>108</v>
      </c>
    </row>
    <row r="80" spans="1:10" x14ac:dyDescent="0.25">
      <c r="A80" t="s">
        <v>226</v>
      </c>
      <c r="B80" t="s">
        <v>228</v>
      </c>
      <c r="C80" t="s">
        <v>229</v>
      </c>
      <c r="D80" t="s">
        <v>41</v>
      </c>
      <c r="E80" t="s">
        <v>33</v>
      </c>
      <c r="F80" t="s">
        <v>82</v>
      </c>
      <c r="G80">
        <v>6</v>
      </c>
      <c r="H80">
        <v>473.67</v>
      </c>
      <c r="I80">
        <v>10</v>
      </c>
      <c r="J80" t="s">
        <v>98</v>
      </c>
    </row>
    <row r="81" spans="1:10" x14ac:dyDescent="0.25">
      <c r="A81" t="s">
        <v>230</v>
      </c>
      <c r="B81" t="s">
        <v>231</v>
      </c>
      <c r="C81" t="s">
        <v>229</v>
      </c>
      <c r="D81" t="s">
        <v>41</v>
      </c>
      <c r="E81" t="s">
        <v>14</v>
      </c>
      <c r="F81" t="s">
        <v>15</v>
      </c>
      <c r="G81">
        <v>7</v>
      </c>
      <c r="H81">
        <v>377.82</v>
      </c>
      <c r="I81">
        <v>15</v>
      </c>
      <c r="J81" t="s">
        <v>22</v>
      </c>
    </row>
    <row r="82" spans="1:10" x14ac:dyDescent="0.25">
      <c r="A82" t="s">
        <v>232</v>
      </c>
      <c r="B82" t="s">
        <v>233</v>
      </c>
      <c r="C82" t="s">
        <v>101</v>
      </c>
      <c r="D82" t="s">
        <v>13</v>
      </c>
      <c r="E82" t="s">
        <v>62</v>
      </c>
      <c r="F82" t="s">
        <v>73</v>
      </c>
      <c r="G82">
        <v>8</v>
      </c>
      <c r="H82">
        <v>806.43</v>
      </c>
      <c r="I82">
        <v>0</v>
      </c>
      <c r="J82" t="s">
        <v>22</v>
      </c>
    </row>
    <row r="83" spans="1:10" x14ac:dyDescent="0.25">
      <c r="A83" t="s">
        <v>234</v>
      </c>
      <c r="B83" t="s">
        <v>235</v>
      </c>
      <c r="C83" t="s">
        <v>236</v>
      </c>
      <c r="D83" t="s">
        <v>26</v>
      </c>
      <c r="E83" t="s">
        <v>14</v>
      </c>
      <c r="F83" t="s">
        <v>76</v>
      </c>
      <c r="G83">
        <v>7</v>
      </c>
      <c r="H83">
        <v>904.96</v>
      </c>
      <c r="I83">
        <v>5</v>
      </c>
      <c r="J83" t="s">
        <v>29</v>
      </c>
    </row>
    <row r="84" spans="1:10" x14ac:dyDescent="0.25">
      <c r="A84" t="s">
        <v>237</v>
      </c>
      <c r="B84" t="s">
        <v>238</v>
      </c>
      <c r="C84" t="s">
        <v>239</v>
      </c>
      <c r="D84" t="s">
        <v>41</v>
      </c>
      <c r="E84" t="s">
        <v>27</v>
      </c>
      <c r="F84" t="s">
        <v>42</v>
      </c>
      <c r="G84">
        <v>5</v>
      </c>
      <c r="H84">
        <v>1134.74</v>
      </c>
      <c r="I84">
        <v>5</v>
      </c>
      <c r="J84" t="s">
        <v>22</v>
      </c>
    </row>
    <row r="85" spans="1:10" x14ac:dyDescent="0.25">
      <c r="A85" t="s">
        <v>240</v>
      </c>
      <c r="B85" t="s">
        <v>241</v>
      </c>
      <c r="C85" t="s">
        <v>158</v>
      </c>
      <c r="D85" t="s">
        <v>26</v>
      </c>
      <c r="E85" t="s">
        <v>14</v>
      </c>
      <c r="F85" t="s">
        <v>76</v>
      </c>
      <c r="G85">
        <v>4</v>
      </c>
      <c r="H85">
        <v>78.400000000000006</v>
      </c>
      <c r="I85">
        <v>0</v>
      </c>
      <c r="J85" t="s">
        <v>16</v>
      </c>
    </row>
    <row r="86" spans="1:10" x14ac:dyDescent="0.25">
      <c r="A86" t="s">
        <v>242</v>
      </c>
      <c r="B86" t="s">
        <v>243</v>
      </c>
      <c r="C86" t="s">
        <v>196</v>
      </c>
      <c r="D86" t="s">
        <v>20</v>
      </c>
      <c r="E86" t="s">
        <v>27</v>
      </c>
      <c r="F86" t="s">
        <v>42</v>
      </c>
      <c r="G86">
        <v>8</v>
      </c>
      <c r="H86">
        <v>995.34</v>
      </c>
      <c r="I86">
        <v>5</v>
      </c>
      <c r="J86" t="s">
        <v>16</v>
      </c>
    </row>
    <row r="87" spans="1:10" x14ac:dyDescent="0.25">
      <c r="A87" t="s">
        <v>162</v>
      </c>
      <c r="B87" t="s">
        <v>244</v>
      </c>
      <c r="C87" t="s">
        <v>88</v>
      </c>
      <c r="D87" t="s">
        <v>41</v>
      </c>
      <c r="E87" t="s">
        <v>33</v>
      </c>
      <c r="F87" t="s">
        <v>46</v>
      </c>
      <c r="G87">
        <v>2</v>
      </c>
      <c r="H87">
        <v>196.91</v>
      </c>
      <c r="I87">
        <v>15</v>
      </c>
      <c r="J87" t="s">
        <v>29</v>
      </c>
    </row>
    <row r="88" spans="1:10" x14ac:dyDescent="0.25">
      <c r="A88" t="s">
        <v>245</v>
      </c>
      <c r="B88" t="s">
        <v>246</v>
      </c>
      <c r="C88" t="s">
        <v>88</v>
      </c>
      <c r="D88" t="s">
        <v>26</v>
      </c>
      <c r="E88" t="s">
        <v>27</v>
      </c>
      <c r="F88" t="s">
        <v>28</v>
      </c>
      <c r="G88">
        <v>9</v>
      </c>
      <c r="H88">
        <v>527.09</v>
      </c>
      <c r="I88">
        <v>0</v>
      </c>
      <c r="J88" t="s">
        <v>29</v>
      </c>
    </row>
    <row r="89" spans="1:10" x14ac:dyDescent="0.25">
      <c r="A89" t="s">
        <v>247</v>
      </c>
      <c r="B89" t="s">
        <v>248</v>
      </c>
      <c r="C89" t="s">
        <v>66</v>
      </c>
      <c r="D89" t="s">
        <v>13</v>
      </c>
      <c r="E89" t="s">
        <v>62</v>
      </c>
      <c r="F89" t="s">
        <v>73</v>
      </c>
      <c r="G89">
        <v>4</v>
      </c>
      <c r="H89">
        <v>1105.1500000000001</v>
      </c>
      <c r="I89">
        <v>15</v>
      </c>
      <c r="J89" t="s">
        <v>98</v>
      </c>
    </row>
    <row r="90" spans="1:10" x14ac:dyDescent="0.25">
      <c r="A90" t="s">
        <v>249</v>
      </c>
      <c r="B90" t="s">
        <v>250</v>
      </c>
      <c r="C90" t="s">
        <v>251</v>
      </c>
      <c r="D90" t="s">
        <v>26</v>
      </c>
      <c r="E90" t="s">
        <v>62</v>
      </c>
      <c r="F90" t="s">
        <v>79</v>
      </c>
      <c r="G90">
        <v>9</v>
      </c>
      <c r="H90">
        <v>146.38999999999999</v>
      </c>
      <c r="I90">
        <v>5</v>
      </c>
      <c r="J90" t="s">
        <v>108</v>
      </c>
    </row>
    <row r="91" spans="1:10" x14ac:dyDescent="0.25">
      <c r="A91" t="s">
        <v>252</v>
      </c>
      <c r="B91" t="s">
        <v>253</v>
      </c>
      <c r="C91" t="s">
        <v>254</v>
      </c>
      <c r="D91" t="s">
        <v>41</v>
      </c>
      <c r="E91" t="s">
        <v>27</v>
      </c>
      <c r="F91" t="s">
        <v>51</v>
      </c>
      <c r="G91">
        <v>1</v>
      </c>
      <c r="H91">
        <v>252.77</v>
      </c>
      <c r="I91">
        <v>0</v>
      </c>
      <c r="J91" t="s">
        <v>22</v>
      </c>
    </row>
    <row r="92" spans="1:10" x14ac:dyDescent="0.25">
      <c r="A92" t="s">
        <v>113</v>
      </c>
      <c r="B92" t="s">
        <v>255</v>
      </c>
      <c r="C92" t="s">
        <v>256</v>
      </c>
      <c r="D92" t="s">
        <v>20</v>
      </c>
      <c r="E92" t="s">
        <v>33</v>
      </c>
      <c r="F92" t="s">
        <v>34</v>
      </c>
      <c r="G92">
        <v>9</v>
      </c>
      <c r="H92">
        <v>293.5</v>
      </c>
      <c r="I92">
        <v>0</v>
      </c>
      <c r="J92" t="s">
        <v>29</v>
      </c>
    </row>
    <row r="93" spans="1:10" x14ac:dyDescent="0.25">
      <c r="A93" t="s">
        <v>182</v>
      </c>
      <c r="B93" t="s">
        <v>257</v>
      </c>
      <c r="C93" t="s">
        <v>258</v>
      </c>
      <c r="D93" t="s">
        <v>20</v>
      </c>
      <c r="E93" t="s">
        <v>62</v>
      </c>
      <c r="F93" t="s">
        <v>79</v>
      </c>
      <c r="G93">
        <v>7</v>
      </c>
      <c r="H93">
        <v>385.77</v>
      </c>
      <c r="I93">
        <v>10</v>
      </c>
      <c r="J93" t="s">
        <v>29</v>
      </c>
    </row>
    <row r="94" spans="1:10" x14ac:dyDescent="0.25">
      <c r="A94" t="s">
        <v>259</v>
      </c>
      <c r="B94" t="s">
        <v>260</v>
      </c>
      <c r="C94" t="s">
        <v>261</v>
      </c>
      <c r="D94" t="s">
        <v>20</v>
      </c>
      <c r="E94" t="s">
        <v>62</v>
      </c>
      <c r="F94" t="s">
        <v>73</v>
      </c>
      <c r="G94">
        <v>8</v>
      </c>
      <c r="H94">
        <v>925.37</v>
      </c>
      <c r="I94">
        <v>0</v>
      </c>
      <c r="J94" t="s">
        <v>29</v>
      </c>
    </row>
    <row r="95" spans="1:10" x14ac:dyDescent="0.25">
      <c r="A95" t="s">
        <v>208</v>
      </c>
      <c r="B95" t="s">
        <v>262</v>
      </c>
      <c r="C95" t="s">
        <v>85</v>
      </c>
      <c r="D95" t="s">
        <v>13</v>
      </c>
      <c r="E95" t="s">
        <v>27</v>
      </c>
      <c r="F95" t="s">
        <v>42</v>
      </c>
      <c r="G95">
        <v>6</v>
      </c>
      <c r="H95">
        <v>505.36</v>
      </c>
      <c r="I95">
        <v>0</v>
      </c>
      <c r="J95" t="s">
        <v>29</v>
      </c>
    </row>
    <row r="96" spans="1:10" x14ac:dyDescent="0.25">
      <c r="A96" t="s">
        <v>263</v>
      </c>
      <c r="B96" t="s">
        <v>264</v>
      </c>
      <c r="C96" t="s">
        <v>265</v>
      </c>
      <c r="D96" t="s">
        <v>41</v>
      </c>
      <c r="E96" t="s">
        <v>62</v>
      </c>
      <c r="F96" t="s">
        <v>73</v>
      </c>
      <c r="G96">
        <v>9</v>
      </c>
      <c r="H96">
        <v>495.19</v>
      </c>
      <c r="I96">
        <v>5</v>
      </c>
      <c r="J96" t="s">
        <v>29</v>
      </c>
    </row>
    <row r="97" spans="1:10" x14ac:dyDescent="0.25">
      <c r="A97" t="s">
        <v>266</v>
      </c>
      <c r="B97" t="s">
        <v>267</v>
      </c>
      <c r="C97" t="s">
        <v>69</v>
      </c>
      <c r="D97" t="s">
        <v>41</v>
      </c>
      <c r="E97" t="s">
        <v>33</v>
      </c>
      <c r="F97" t="s">
        <v>82</v>
      </c>
      <c r="G97">
        <v>5</v>
      </c>
      <c r="H97">
        <v>600.87</v>
      </c>
      <c r="I97">
        <v>15</v>
      </c>
      <c r="J97" t="s">
        <v>16</v>
      </c>
    </row>
    <row r="98" spans="1:10" x14ac:dyDescent="0.25">
      <c r="A98" t="s">
        <v>52</v>
      </c>
      <c r="B98" t="s">
        <v>268</v>
      </c>
      <c r="C98" t="s">
        <v>269</v>
      </c>
      <c r="D98" t="s">
        <v>13</v>
      </c>
      <c r="E98" t="s">
        <v>14</v>
      </c>
      <c r="F98" t="s">
        <v>15</v>
      </c>
      <c r="G98">
        <v>7</v>
      </c>
      <c r="H98">
        <v>717.21</v>
      </c>
      <c r="I98">
        <v>15</v>
      </c>
      <c r="J98" t="s">
        <v>108</v>
      </c>
    </row>
    <row r="99" spans="1:10" x14ac:dyDescent="0.25">
      <c r="A99" t="s">
        <v>270</v>
      </c>
      <c r="B99" t="s">
        <v>271</v>
      </c>
      <c r="C99" t="s">
        <v>272</v>
      </c>
      <c r="D99" t="s">
        <v>20</v>
      </c>
      <c r="E99" t="s">
        <v>33</v>
      </c>
      <c r="F99" t="s">
        <v>82</v>
      </c>
      <c r="G99">
        <v>9</v>
      </c>
      <c r="H99">
        <v>1188.77</v>
      </c>
      <c r="I99">
        <v>10</v>
      </c>
      <c r="J99" t="s">
        <v>16</v>
      </c>
    </row>
    <row r="100" spans="1:10" x14ac:dyDescent="0.25">
      <c r="A100" t="s">
        <v>273</v>
      </c>
      <c r="B100" t="s">
        <v>274</v>
      </c>
      <c r="C100" t="s">
        <v>275</v>
      </c>
      <c r="D100" t="s">
        <v>26</v>
      </c>
      <c r="E100" t="s">
        <v>33</v>
      </c>
      <c r="F100" t="s">
        <v>82</v>
      </c>
      <c r="G100">
        <v>6</v>
      </c>
      <c r="H100">
        <v>154.77000000000001</v>
      </c>
      <c r="I100">
        <v>0</v>
      </c>
      <c r="J100" t="s">
        <v>22</v>
      </c>
    </row>
    <row r="101" spans="1:10" x14ac:dyDescent="0.25">
      <c r="A101" t="s">
        <v>276</v>
      </c>
      <c r="B101" t="s">
        <v>277</v>
      </c>
      <c r="C101" t="s">
        <v>201</v>
      </c>
      <c r="D101" t="s">
        <v>20</v>
      </c>
      <c r="E101" t="s">
        <v>27</v>
      </c>
      <c r="F101" t="s">
        <v>42</v>
      </c>
      <c r="G101">
        <v>9</v>
      </c>
      <c r="H101">
        <v>938.37</v>
      </c>
      <c r="I101">
        <v>15</v>
      </c>
      <c r="J101" t="s">
        <v>22</v>
      </c>
    </row>
    <row r="102" spans="1:10" x14ac:dyDescent="0.25">
      <c r="A102" t="s">
        <v>113</v>
      </c>
      <c r="B102" t="s">
        <v>278</v>
      </c>
      <c r="C102" t="s">
        <v>279</v>
      </c>
      <c r="D102" t="s">
        <v>13</v>
      </c>
      <c r="E102" t="s">
        <v>27</v>
      </c>
      <c r="F102" t="s">
        <v>51</v>
      </c>
      <c r="G102">
        <v>1</v>
      </c>
      <c r="H102">
        <v>15.63</v>
      </c>
      <c r="I102">
        <v>10</v>
      </c>
      <c r="J102" t="s">
        <v>47</v>
      </c>
    </row>
    <row r="103" spans="1:10" x14ac:dyDescent="0.25">
      <c r="A103" t="s">
        <v>122</v>
      </c>
      <c r="B103" t="s">
        <v>280</v>
      </c>
      <c r="C103" t="s">
        <v>272</v>
      </c>
      <c r="D103" t="s">
        <v>26</v>
      </c>
      <c r="E103" t="s">
        <v>33</v>
      </c>
      <c r="F103" t="s">
        <v>82</v>
      </c>
      <c r="G103">
        <v>7</v>
      </c>
      <c r="H103">
        <v>483.72</v>
      </c>
      <c r="I103">
        <v>0</v>
      </c>
      <c r="J103" t="s">
        <v>22</v>
      </c>
    </row>
    <row r="104" spans="1:10" x14ac:dyDescent="0.25">
      <c r="A104" t="s">
        <v>281</v>
      </c>
      <c r="B104" t="s">
        <v>282</v>
      </c>
      <c r="C104" t="s">
        <v>256</v>
      </c>
      <c r="D104" t="s">
        <v>20</v>
      </c>
      <c r="E104" t="s">
        <v>14</v>
      </c>
      <c r="F104" t="s">
        <v>15</v>
      </c>
      <c r="G104">
        <v>2</v>
      </c>
      <c r="H104">
        <v>141.54</v>
      </c>
      <c r="I104">
        <v>5</v>
      </c>
      <c r="J104" t="s">
        <v>108</v>
      </c>
    </row>
    <row r="105" spans="1:10" x14ac:dyDescent="0.25">
      <c r="A105" t="s">
        <v>283</v>
      </c>
      <c r="B105" t="s">
        <v>284</v>
      </c>
      <c r="C105" t="s">
        <v>12</v>
      </c>
      <c r="D105" t="s">
        <v>20</v>
      </c>
      <c r="E105" t="s">
        <v>27</v>
      </c>
      <c r="F105" t="s">
        <v>28</v>
      </c>
      <c r="G105">
        <v>3</v>
      </c>
      <c r="H105">
        <v>182.68</v>
      </c>
      <c r="I105">
        <v>0</v>
      </c>
      <c r="J105" t="s">
        <v>22</v>
      </c>
    </row>
    <row r="106" spans="1:10" x14ac:dyDescent="0.25">
      <c r="A106" t="s">
        <v>263</v>
      </c>
      <c r="B106" t="s">
        <v>285</v>
      </c>
      <c r="C106" t="s">
        <v>72</v>
      </c>
      <c r="D106" t="s">
        <v>13</v>
      </c>
      <c r="E106" t="s">
        <v>62</v>
      </c>
      <c r="F106" t="s">
        <v>73</v>
      </c>
      <c r="G106">
        <v>3</v>
      </c>
      <c r="H106">
        <v>1168.52</v>
      </c>
      <c r="I106">
        <v>10</v>
      </c>
      <c r="J106" t="s">
        <v>29</v>
      </c>
    </row>
    <row r="107" spans="1:10" x14ac:dyDescent="0.25">
      <c r="A107" t="s">
        <v>173</v>
      </c>
      <c r="B107" t="s">
        <v>286</v>
      </c>
      <c r="C107" t="s">
        <v>112</v>
      </c>
      <c r="D107" t="s">
        <v>20</v>
      </c>
      <c r="E107" t="s">
        <v>27</v>
      </c>
      <c r="F107" t="s">
        <v>42</v>
      </c>
      <c r="G107">
        <v>8</v>
      </c>
      <c r="H107">
        <v>898.35</v>
      </c>
      <c r="I107">
        <v>5</v>
      </c>
      <c r="J107" t="s">
        <v>29</v>
      </c>
    </row>
    <row r="108" spans="1:10" x14ac:dyDescent="0.25">
      <c r="A108" t="s">
        <v>146</v>
      </c>
      <c r="B108" t="s">
        <v>287</v>
      </c>
      <c r="C108" t="s">
        <v>142</v>
      </c>
      <c r="D108" t="s">
        <v>41</v>
      </c>
      <c r="E108" t="s">
        <v>14</v>
      </c>
      <c r="F108" t="s">
        <v>21</v>
      </c>
      <c r="G108">
        <v>5</v>
      </c>
      <c r="H108">
        <v>829.57</v>
      </c>
      <c r="I108">
        <v>5</v>
      </c>
      <c r="J108" t="s">
        <v>29</v>
      </c>
    </row>
    <row r="109" spans="1:10" x14ac:dyDescent="0.25">
      <c r="A109" t="s">
        <v>153</v>
      </c>
      <c r="B109" t="s">
        <v>288</v>
      </c>
      <c r="C109" t="s">
        <v>289</v>
      </c>
      <c r="D109" t="s">
        <v>41</v>
      </c>
      <c r="E109" t="s">
        <v>14</v>
      </c>
      <c r="F109" t="s">
        <v>21</v>
      </c>
      <c r="G109">
        <v>2</v>
      </c>
      <c r="H109">
        <v>239.25</v>
      </c>
      <c r="I109">
        <v>15</v>
      </c>
      <c r="J109" t="s">
        <v>22</v>
      </c>
    </row>
    <row r="110" spans="1:10" x14ac:dyDescent="0.25">
      <c r="A110" t="s">
        <v>156</v>
      </c>
      <c r="B110" t="s">
        <v>290</v>
      </c>
      <c r="C110" t="s">
        <v>204</v>
      </c>
      <c r="D110" t="s">
        <v>26</v>
      </c>
      <c r="E110" t="s">
        <v>14</v>
      </c>
      <c r="F110" t="s">
        <v>15</v>
      </c>
      <c r="G110">
        <v>5</v>
      </c>
      <c r="H110">
        <v>143.22999999999999</v>
      </c>
      <c r="I110">
        <v>10</v>
      </c>
      <c r="J110" t="s">
        <v>22</v>
      </c>
    </row>
    <row r="111" spans="1:10" x14ac:dyDescent="0.25">
      <c r="A111" t="s">
        <v>291</v>
      </c>
      <c r="B111" t="s">
        <v>292</v>
      </c>
      <c r="C111" t="s">
        <v>40</v>
      </c>
      <c r="D111" t="s">
        <v>41</v>
      </c>
      <c r="E111" t="s">
        <v>62</v>
      </c>
      <c r="F111" t="s">
        <v>73</v>
      </c>
      <c r="G111">
        <v>10</v>
      </c>
      <c r="H111">
        <v>934.05</v>
      </c>
      <c r="I111">
        <v>15</v>
      </c>
      <c r="J111" t="s">
        <v>29</v>
      </c>
    </row>
    <row r="112" spans="1:10" x14ac:dyDescent="0.25">
      <c r="A112" t="s">
        <v>293</v>
      </c>
      <c r="B112" t="s">
        <v>294</v>
      </c>
      <c r="C112" t="s">
        <v>168</v>
      </c>
      <c r="D112" t="s">
        <v>20</v>
      </c>
      <c r="E112" t="s">
        <v>14</v>
      </c>
      <c r="F112" t="s">
        <v>21</v>
      </c>
      <c r="G112">
        <v>10</v>
      </c>
      <c r="H112">
        <v>866.49</v>
      </c>
      <c r="I112">
        <v>0</v>
      </c>
      <c r="J112" t="s">
        <v>108</v>
      </c>
    </row>
    <row r="113" spans="1:10" x14ac:dyDescent="0.25">
      <c r="A113" t="s">
        <v>263</v>
      </c>
      <c r="B113" t="s">
        <v>295</v>
      </c>
      <c r="C113" t="s">
        <v>12</v>
      </c>
      <c r="D113" t="s">
        <v>20</v>
      </c>
      <c r="E113" t="s">
        <v>33</v>
      </c>
      <c r="F113" t="s">
        <v>46</v>
      </c>
      <c r="G113">
        <v>9</v>
      </c>
      <c r="H113">
        <v>242.66</v>
      </c>
      <c r="I113">
        <v>5</v>
      </c>
      <c r="J113" t="s">
        <v>16</v>
      </c>
    </row>
    <row r="114" spans="1:10" x14ac:dyDescent="0.25">
      <c r="A114" t="s">
        <v>38</v>
      </c>
      <c r="B114" t="s">
        <v>296</v>
      </c>
      <c r="C114" t="s">
        <v>272</v>
      </c>
      <c r="D114" t="s">
        <v>13</v>
      </c>
      <c r="E114" t="s">
        <v>62</v>
      </c>
      <c r="F114" t="s">
        <v>92</v>
      </c>
      <c r="G114">
        <v>6</v>
      </c>
      <c r="H114">
        <v>665.15</v>
      </c>
      <c r="I114">
        <v>15</v>
      </c>
      <c r="J114" t="s">
        <v>29</v>
      </c>
    </row>
    <row r="115" spans="1:10" x14ac:dyDescent="0.25">
      <c r="A115" t="s">
        <v>297</v>
      </c>
      <c r="B115" t="s">
        <v>298</v>
      </c>
      <c r="C115" t="s">
        <v>19</v>
      </c>
      <c r="D115" t="s">
        <v>20</v>
      </c>
      <c r="E115" t="s">
        <v>14</v>
      </c>
      <c r="F115" t="s">
        <v>15</v>
      </c>
      <c r="G115">
        <v>5</v>
      </c>
      <c r="H115">
        <v>410.97</v>
      </c>
      <c r="I115">
        <v>0</v>
      </c>
      <c r="J115" t="s">
        <v>47</v>
      </c>
    </row>
    <row r="116" spans="1:10" x14ac:dyDescent="0.25">
      <c r="A116" t="s">
        <v>299</v>
      </c>
      <c r="B116" t="s">
        <v>300</v>
      </c>
      <c r="C116" t="s">
        <v>204</v>
      </c>
      <c r="D116" t="s">
        <v>41</v>
      </c>
      <c r="E116" t="s">
        <v>27</v>
      </c>
      <c r="F116" t="s">
        <v>51</v>
      </c>
      <c r="G116">
        <v>3</v>
      </c>
      <c r="H116">
        <v>52.02</v>
      </c>
      <c r="I116">
        <v>0</v>
      </c>
      <c r="J116" t="s">
        <v>16</v>
      </c>
    </row>
    <row r="117" spans="1:10" x14ac:dyDescent="0.25">
      <c r="A117" t="s">
        <v>301</v>
      </c>
      <c r="B117" t="s">
        <v>302</v>
      </c>
      <c r="C117" t="s">
        <v>213</v>
      </c>
      <c r="D117" t="s">
        <v>20</v>
      </c>
      <c r="E117" t="s">
        <v>33</v>
      </c>
      <c r="F117" t="s">
        <v>82</v>
      </c>
      <c r="G117">
        <v>9</v>
      </c>
      <c r="H117">
        <v>464.98</v>
      </c>
      <c r="I117">
        <v>0</v>
      </c>
      <c r="J117" t="s">
        <v>16</v>
      </c>
    </row>
    <row r="118" spans="1:10" x14ac:dyDescent="0.25">
      <c r="A118" t="s">
        <v>95</v>
      </c>
      <c r="B118" t="s">
        <v>303</v>
      </c>
      <c r="C118" t="s">
        <v>269</v>
      </c>
      <c r="D118" t="s">
        <v>26</v>
      </c>
      <c r="E118" t="s">
        <v>62</v>
      </c>
      <c r="F118" t="s">
        <v>79</v>
      </c>
      <c r="G118">
        <v>1</v>
      </c>
      <c r="H118">
        <v>272.16000000000003</v>
      </c>
      <c r="I118">
        <v>15</v>
      </c>
      <c r="J118" t="s">
        <v>108</v>
      </c>
    </row>
    <row r="119" spans="1:10" x14ac:dyDescent="0.25">
      <c r="A119" t="s">
        <v>249</v>
      </c>
      <c r="B119" t="s">
        <v>304</v>
      </c>
      <c r="C119" t="s">
        <v>201</v>
      </c>
      <c r="D119" t="s">
        <v>26</v>
      </c>
      <c r="E119" t="s">
        <v>33</v>
      </c>
      <c r="F119" t="s">
        <v>34</v>
      </c>
      <c r="G119">
        <v>5</v>
      </c>
      <c r="H119">
        <v>417.25</v>
      </c>
      <c r="I119">
        <v>10</v>
      </c>
      <c r="J119" t="s">
        <v>16</v>
      </c>
    </row>
    <row r="120" spans="1:10" x14ac:dyDescent="0.25">
      <c r="A120" t="s">
        <v>305</v>
      </c>
      <c r="B120" t="s">
        <v>306</v>
      </c>
      <c r="C120" t="s">
        <v>307</v>
      </c>
      <c r="D120" t="s">
        <v>41</v>
      </c>
      <c r="E120" t="s">
        <v>33</v>
      </c>
      <c r="F120" t="s">
        <v>34</v>
      </c>
      <c r="G120">
        <v>4</v>
      </c>
      <c r="H120">
        <v>79.12</v>
      </c>
      <c r="I120">
        <v>15</v>
      </c>
      <c r="J120" t="s">
        <v>47</v>
      </c>
    </row>
    <row r="121" spans="1:10" x14ac:dyDescent="0.25">
      <c r="A121" t="s">
        <v>308</v>
      </c>
      <c r="B121" t="s">
        <v>309</v>
      </c>
      <c r="C121" t="s">
        <v>50</v>
      </c>
      <c r="D121" t="s">
        <v>41</v>
      </c>
      <c r="E121" t="s">
        <v>14</v>
      </c>
      <c r="F121" t="s">
        <v>15</v>
      </c>
      <c r="G121">
        <v>6</v>
      </c>
      <c r="H121">
        <v>22.12</v>
      </c>
      <c r="I121">
        <v>10</v>
      </c>
      <c r="J121" t="s">
        <v>98</v>
      </c>
    </row>
    <row r="122" spans="1:10" x14ac:dyDescent="0.25">
      <c r="A122" t="s">
        <v>187</v>
      </c>
      <c r="B122" t="s">
        <v>310</v>
      </c>
      <c r="C122" t="s">
        <v>256</v>
      </c>
      <c r="D122" t="s">
        <v>13</v>
      </c>
      <c r="E122" t="s">
        <v>33</v>
      </c>
      <c r="F122" t="s">
        <v>46</v>
      </c>
      <c r="G122">
        <v>10</v>
      </c>
      <c r="H122">
        <v>752.55</v>
      </c>
      <c r="I122">
        <v>15</v>
      </c>
      <c r="J122" t="s">
        <v>29</v>
      </c>
    </row>
    <row r="123" spans="1:10" x14ac:dyDescent="0.25">
      <c r="A123" t="s">
        <v>311</v>
      </c>
      <c r="B123" t="s">
        <v>312</v>
      </c>
      <c r="C123" t="s">
        <v>91</v>
      </c>
      <c r="D123" t="s">
        <v>26</v>
      </c>
      <c r="E123" t="s">
        <v>62</v>
      </c>
      <c r="F123" t="s">
        <v>79</v>
      </c>
      <c r="G123">
        <v>1</v>
      </c>
      <c r="H123">
        <v>403.18</v>
      </c>
      <c r="I123">
        <v>5</v>
      </c>
      <c r="J123" t="s">
        <v>29</v>
      </c>
    </row>
    <row r="124" spans="1:10" x14ac:dyDescent="0.25">
      <c r="A124" t="s">
        <v>249</v>
      </c>
      <c r="B124" t="s">
        <v>313</v>
      </c>
      <c r="C124" t="s">
        <v>314</v>
      </c>
      <c r="D124" t="s">
        <v>41</v>
      </c>
      <c r="E124" t="s">
        <v>27</v>
      </c>
      <c r="F124" t="s">
        <v>51</v>
      </c>
      <c r="G124">
        <v>8</v>
      </c>
      <c r="H124">
        <v>72.61</v>
      </c>
      <c r="I124">
        <v>15</v>
      </c>
      <c r="J124" t="s">
        <v>29</v>
      </c>
    </row>
    <row r="125" spans="1:10" x14ac:dyDescent="0.25">
      <c r="A125" t="s">
        <v>17</v>
      </c>
      <c r="B125" t="s">
        <v>315</v>
      </c>
      <c r="C125" t="s">
        <v>168</v>
      </c>
      <c r="D125" t="s">
        <v>13</v>
      </c>
      <c r="E125" t="s">
        <v>14</v>
      </c>
      <c r="F125" t="s">
        <v>21</v>
      </c>
      <c r="G125">
        <v>8</v>
      </c>
      <c r="H125">
        <v>724.57</v>
      </c>
      <c r="I125">
        <v>5</v>
      </c>
      <c r="J125" t="s">
        <v>47</v>
      </c>
    </row>
    <row r="126" spans="1:10" x14ac:dyDescent="0.25">
      <c r="A126" t="s">
        <v>316</v>
      </c>
      <c r="B126" t="s">
        <v>317</v>
      </c>
      <c r="C126" t="s">
        <v>318</v>
      </c>
      <c r="D126" t="s">
        <v>41</v>
      </c>
      <c r="E126" t="s">
        <v>62</v>
      </c>
      <c r="F126" t="s">
        <v>79</v>
      </c>
      <c r="G126">
        <v>3</v>
      </c>
      <c r="H126">
        <v>262.39</v>
      </c>
      <c r="I126">
        <v>15</v>
      </c>
      <c r="J126" t="s">
        <v>47</v>
      </c>
    </row>
    <row r="127" spans="1:10" x14ac:dyDescent="0.25">
      <c r="A127" t="s">
        <v>319</v>
      </c>
      <c r="B127" t="s">
        <v>320</v>
      </c>
      <c r="C127" t="s">
        <v>196</v>
      </c>
      <c r="D127" t="s">
        <v>13</v>
      </c>
      <c r="E127" t="s">
        <v>62</v>
      </c>
      <c r="F127" t="s">
        <v>73</v>
      </c>
      <c r="G127">
        <v>4</v>
      </c>
      <c r="H127">
        <v>13.06</v>
      </c>
      <c r="I127">
        <v>15</v>
      </c>
      <c r="J127" t="s">
        <v>29</v>
      </c>
    </row>
    <row r="128" spans="1:10" x14ac:dyDescent="0.25">
      <c r="A128" t="s">
        <v>321</v>
      </c>
      <c r="B128" t="s">
        <v>322</v>
      </c>
      <c r="C128" t="s">
        <v>107</v>
      </c>
      <c r="D128" t="s">
        <v>13</v>
      </c>
      <c r="E128" t="s">
        <v>33</v>
      </c>
      <c r="F128" t="s">
        <v>46</v>
      </c>
      <c r="G128">
        <v>4</v>
      </c>
      <c r="H128">
        <v>63.05</v>
      </c>
      <c r="I128">
        <v>10</v>
      </c>
      <c r="J128" t="s">
        <v>29</v>
      </c>
    </row>
    <row r="129" spans="1:10" x14ac:dyDescent="0.25">
      <c r="A129" t="s">
        <v>323</v>
      </c>
      <c r="B129" t="s">
        <v>324</v>
      </c>
      <c r="C129" t="s">
        <v>318</v>
      </c>
      <c r="D129" t="s">
        <v>13</v>
      </c>
      <c r="E129" t="s">
        <v>62</v>
      </c>
      <c r="F129" t="s">
        <v>73</v>
      </c>
      <c r="G129">
        <v>9</v>
      </c>
      <c r="H129">
        <v>176.8</v>
      </c>
      <c r="I129">
        <v>15</v>
      </c>
      <c r="J129" t="s">
        <v>16</v>
      </c>
    </row>
    <row r="130" spans="1:10" x14ac:dyDescent="0.25">
      <c r="A130" t="s">
        <v>230</v>
      </c>
      <c r="B130" t="s">
        <v>325</v>
      </c>
      <c r="C130" t="s">
        <v>201</v>
      </c>
      <c r="D130" t="s">
        <v>26</v>
      </c>
      <c r="E130" t="s">
        <v>33</v>
      </c>
      <c r="F130" t="s">
        <v>34</v>
      </c>
      <c r="G130">
        <v>5</v>
      </c>
      <c r="H130">
        <v>857.32</v>
      </c>
      <c r="I130">
        <v>5</v>
      </c>
      <c r="J130" t="s">
        <v>47</v>
      </c>
    </row>
    <row r="131" spans="1:10" x14ac:dyDescent="0.25">
      <c r="A131" t="s">
        <v>206</v>
      </c>
      <c r="B131" t="s">
        <v>326</v>
      </c>
      <c r="C131" t="s">
        <v>272</v>
      </c>
      <c r="D131" t="s">
        <v>26</v>
      </c>
      <c r="E131" t="s">
        <v>62</v>
      </c>
      <c r="F131" t="s">
        <v>92</v>
      </c>
      <c r="G131">
        <v>3</v>
      </c>
      <c r="H131">
        <v>482.23</v>
      </c>
      <c r="I131">
        <v>0</v>
      </c>
      <c r="J131" t="s">
        <v>47</v>
      </c>
    </row>
    <row r="132" spans="1:10" x14ac:dyDescent="0.25">
      <c r="A132" t="s">
        <v>95</v>
      </c>
      <c r="B132" t="s">
        <v>327</v>
      </c>
      <c r="C132" t="s">
        <v>72</v>
      </c>
      <c r="D132" t="s">
        <v>26</v>
      </c>
      <c r="E132" t="s">
        <v>62</v>
      </c>
      <c r="F132" t="s">
        <v>63</v>
      </c>
      <c r="G132">
        <v>5</v>
      </c>
      <c r="H132">
        <v>1032.9000000000001</v>
      </c>
      <c r="I132">
        <v>5</v>
      </c>
      <c r="J132" t="s">
        <v>29</v>
      </c>
    </row>
    <row r="133" spans="1:10" x14ac:dyDescent="0.25">
      <c r="A133" t="s">
        <v>328</v>
      </c>
      <c r="B133" t="s">
        <v>329</v>
      </c>
      <c r="C133" t="s">
        <v>251</v>
      </c>
      <c r="D133" t="s">
        <v>26</v>
      </c>
      <c r="E133" t="s">
        <v>33</v>
      </c>
      <c r="F133" t="s">
        <v>34</v>
      </c>
      <c r="G133">
        <v>2</v>
      </c>
      <c r="H133">
        <v>1064.94</v>
      </c>
      <c r="I133">
        <v>5</v>
      </c>
      <c r="J133" t="s">
        <v>22</v>
      </c>
    </row>
    <row r="134" spans="1:10" x14ac:dyDescent="0.25">
      <c r="A134" t="s">
        <v>330</v>
      </c>
      <c r="B134" t="s">
        <v>331</v>
      </c>
      <c r="C134" t="s">
        <v>222</v>
      </c>
      <c r="D134" t="s">
        <v>20</v>
      </c>
      <c r="E134" t="s">
        <v>14</v>
      </c>
      <c r="F134" t="s">
        <v>21</v>
      </c>
      <c r="G134">
        <v>10</v>
      </c>
      <c r="H134">
        <v>1080.44</v>
      </c>
      <c r="I134">
        <v>5</v>
      </c>
      <c r="J134" t="s">
        <v>98</v>
      </c>
    </row>
    <row r="135" spans="1:10" x14ac:dyDescent="0.25">
      <c r="A135" t="s">
        <v>182</v>
      </c>
      <c r="B135" t="s">
        <v>332</v>
      </c>
      <c r="C135" t="s">
        <v>333</v>
      </c>
      <c r="D135" t="s">
        <v>13</v>
      </c>
      <c r="E135" t="s">
        <v>62</v>
      </c>
      <c r="F135" t="s">
        <v>79</v>
      </c>
      <c r="G135">
        <v>4</v>
      </c>
      <c r="H135">
        <v>15.9</v>
      </c>
      <c r="I135">
        <v>10</v>
      </c>
      <c r="J135" t="s">
        <v>29</v>
      </c>
    </row>
    <row r="136" spans="1:10" x14ac:dyDescent="0.25">
      <c r="A136" t="s">
        <v>263</v>
      </c>
      <c r="B136" t="s">
        <v>334</v>
      </c>
      <c r="C136" t="s">
        <v>229</v>
      </c>
      <c r="D136" t="s">
        <v>26</v>
      </c>
      <c r="E136" t="s">
        <v>27</v>
      </c>
      <c r="F136" t="s">
        <v>28</v>
      </c>
      <c r="G136">
        <v>3</v>
      </c>
      <c r="H136">
        <v>901.08</v>
      </c>
      <c r="I136">
        <v>15</v>
      </c>
      <c r="J136" t="s">
        <v>29</v>
      </c>
    </row>
    <row r="137" spans="1:10" x14ac:dyDescent="0.25">
      <c r="A137" t="s">
        <v>335</v>
      </c>
      <c r="B137" t="s">
        <v>336</v>
      </c>
      <c r="C137" t="s">
        <v>135</v>
      </c>
      <c r="D137" t="s">
        <v>13</v>
      </c>
      <c r="E137" t="s">
        <v>14</v>
      </c>
      <c r="F137" t="s">
        <v>15</v>
      </c>
      <c r="G137">
        <v>4</v>
      </c>
      <c r="H137">
        <v>773.04</v>
      </c>
      <c r="I137">
        <v>10</v>
      </c>
      <c r="J137" t="s">
        <v>98</v>
      </c>
    </row>
    <row r="138" spans="1:10" x14ac:dyDescent="0.25">
      <c r="A138" t="s">
        <v>259</v>
      </c>
      <c r="B138" t="s">
        <v>337</v>
      </c>
      <c r="C138" t="s">
        <v>279</v>
      </c>
      <c r="D138" t="s">
        <v>13</v>
      </c>
      <c r="E138" t="s">
        <v>27</v>
      </c>
      <c r="F138" t="s">
        <v>28</v>
      </c>
      <c r="G138">
        <v>8</v>
      </c>
      <c r="H138">
        <v>608.13</v>
      </c>
      <c r="I138">
        <v>5</v>
      </c>
      <c r="J138" t="s">
        <v>29</v>
      </c>
    </row>
    <row r="139" spans="1:10" x14ac:dyDescent="0.25">
      <c r="A139" t="s">
        <v>113</v>
      </c>
      <c r="B139" t="s">
        <v>338</v>
      </c>
      <c r="C139" t="s">
        <v>251</v>
      </c>
      <c r="D139" t="s">
        <v>20</v>
      </c>
      <c r="E139" t="s">
        <v>27</v>
      </c>
      <c r="F139" t="s">
        <v>42</v>
      </c>
      <c r="G139">
        <v>9</v>
      </c>
      <c r="H139">
        <v>498.73</v>
      </c>
      <c r="I139">
        <v>10</v>
      </c>
      <c r="J139" t="s">
        <v>108</v>
      </c>
    </row>
    <row r="140" spans="1:10" x14ac:dyDescent="0.25">
      <c r="A140" t="s">
        <v>339</v>
      </c>
      <c r="B140" t="s">
        <v>340</v>
      </c>
      <c r="C140" t="s">
        <v>132</v>
      </c>
      <c r="D140" t="s">
        <v>26</v>
      </c>
      <c r="E140" t="s">
        <v>27</v>
      </c>
      <c r="F140" t="s">
        <v>28</v>
      </c>
      <c r="G140">
        <v>7</v>
      </c>
      <c r="H140">
        <v>1128.5999999999999</v>
      </c>
      <c r="I140">
        <v>15</v>
      </c>
      <c r="J140" t="s">
        <v>47</v>
      </c>
    </row>
    <row r="141" spans="1:10" x14ac:dyDescent="0.25">
      <c r="A141" t="s">
        <v>226</v>
      </c>
      <c r="B141" t="s">
        <v>341</v>
      </c>
      <c r="C141" t="s">
        <v>32</v>
      </c>
      <c r="D141" t="s">
        <v>26</v>
      </c>
      <c r="E141" t="s">
        <v>62</v>
      </c>
      <c r="F141" t="s">
        <v>73</v>
      </c>
      <c r="G141">
        <v>1</v>
      </c>
      <c r="H141">
        <v>33.6</v>
      </c>
      <c r="I141">
        <v>5</v>
      </c>
      <c r="J141" t="s">
        <v>98</v>
      </c>
    </row>
    <row r="142" spans="1:10" x14ac:dyDescent="0.25">
      <c r="A142" t="s">
        <v>342</v>
      </c>
      <c r="B142" t="s">
        <v>343</v>
      </c>
      <c r="C142" t="s">
        <v>37</v>
      </c>
      <c r="D142" t="s">
        <v>13</v>
      </c>
      <c r="E142" t="s">
        <v>27</v>
      </c>
      <c r="F142" t="s">
        <v>42</v>
      </c>
      <c r="G142">
        <v>7</v>
      </c>
      <c r="H142">
        <v>872.22</v>
      </c>
      <c r="I142">
        <v>15</v>
      </c>
      <c r="J142" t="s">
        <v>108</v>
      </c>
    </row>
    <row r="143" spans="1:10" x14ac:dyDescent="0.25">
      <c r="A143" t="s">
        <v>56</v>
      </c>
      <c r="B143" t="s">
        <v>344</v>
      </c>
      <c r="C143" t="s">
        <v>61</v>
      </c>
      <c r="D143" t="s">
        <v>20</v>
      </c>
      <c r="E143" t="s">
        <v>33</v>
      </c>
      <c r="F143" t="s">
        <v>46</v>
      </c>
      <c r="G143">
        <v>5</v>
      </c>
      <c r="H143">
        <v>887.18</v>
      </c>
      <c r="I143">
        <v>15</v>
      </c>
      <c r="J143" t="s">
        <v>29</v>
      </c>
    </row>
    <row r="144" spans="1:10" x14ac:dyDescent="0.25">
      <c r="A144" t="s">
        <v>184</v>
      </c>
      <c r="B144" t="s">
        <v>345</v>
      </c>
      <c r="C144" t="s">
        <v>346</v>
      </c>
      <c r="D144" t="s">
        <v>20</v>
      </c>
      <c r="E144" t="s">
        <v>62</v>
      </c>
      <c r="F144" t="s">
        <v>92</v>
      </c>
      <c r="G144">
        <v>4</v>
      </c>
      <c r="H144">
        <v>36.42</v>
      </c>
      <c r="I144">
        <v>5</v>
      </c>
      <c r="J144" t="s">
        <v>29</v>
      </c>
    </row>
    <row r="145" spans="1:10" x14ac:dyDescent="0.25">
      <c r="A145" t="s">
        <v>23</v>
      </c>
      <c r="B145" t="s">
        <v>347</v>
      </c>
      <c r="C145" t="s">
        <v>61</v>
      </c>
      <c r="D145" t="s">
        <v>13</v>
      </c>
      <c r="E145" t="s">
        <v>62</v>
      </c>
      <c r="F145" t="s">
        <v>79</v>
      </c>
      <c r="G145">
        <v>6</v>
      </c>
      <c r="H145">
        <v>323.42</v>
      </c>
      <c r="I145">
        <v>10</v>
      </c>
      <c r="J145" t="s">
        <v>98</v>
      </c>
    </row>
    <row r="146" spans="1:10" x14ac:dyDescent="0.25">
      <c r="A146" t="s">
        <v>308</v>
      </c>
      <c r="B146" t="s">
        <v>348</v>
      </c>
      <c r="C146" t="s">
        <v>142</v>
      </c>
      <c r="D146" t="s">
        <v>20</v>
      </c>
      <c r="E146" t="s">
        <v>27</v>
      </c>
      <c r="F146" t="s">
        <v>42</v>
      </c>
      <c r="G146">
        <v>8</v>
      </c>
      <c r="H146">
        <v>1107.46</v>
      </c>
      <c r="I146">
        <v>15</v>
      </c>
      <c r="J146" t="s">
        <v>16</v>
      </c>
    </row>
    <row r="147" spans="1:10" x14ac:dyDescent="0.25">
      <c r="A147" t="s">
        <v>349</v>
      </c>
      <c r="B147" t="s">
        <v>350</v>
      </c>
      <c r="C147" t="s">
        <v>150</v>
      </c>
      <c r="D147" t="s">
        <v>20</v>
      </c>
      <c r="E147" t="s">
        <v>33</v>
      </c>
      <c r="F147" t="s">
        <v>46</v>
      </c>
      <c r="G147">
        <v>9</v>
      </c>
      <c r="H147">
        <v>616.07000000000005</v>
      </c>
      <c r="I147">
        <v>5</v>
      </c>
      <c r="J147" t="s">
        <v>16</v>
      </c>
    </row>
    <row r="148" spans="1:10" x14ac:dyDescent="0.25">
      <c r="A148" t="s">
        <v>283</v>
      </c>
      <c r="B148" t="s">
        <v>351</v>
      </c>
      <c r="C148" t="s">
        <v>352</v>
      </c>
      <c r="D148" t="s">
        <v>41</v>
      </c>
      <c r="E148" t="s">
        <v>14</v>
      </c>
      <c r="F148" t="s">
        <v>15</v>
      </c>
      <c r="G148">
        <v>4</v>
      </c>
      <c r="H148">
        <v>165.6</v>
      </c>
      <c r="I148">
        <v>0</v>
      </c>
      <c r="J148" t="s">
        <v>16</v>
      </c>
    </row>
    <row r="149" spans="1:10" x14ac:dyDescent="0.25">
      <c r="A149" t="s">
        <v>153</v>
      </c>
      <c r="B149" t="s">
        <v>353</v>
      </c>
      <c r="C149" t="s">
        <v>107</v>
      </c>
      <c r="D149" t="s">
        <v>26</v>
      </c>
      <c r="E149" t="s">
        <v>27</v>
      </c>
      <c r="F149" t="s">
        <v>51</v>
      </c>
      <c r="G149">
        <v>4</v>
      </c>
      <c r="H149">
        <v>262.48</v>
      </c>
      <c r="I149">
        <v>10</v>
      </c>
      <c r="J149" t="s">
        <v>108</v>
      </c>
    </row>
    <row r="150" spans="1:10" x14ac:dyDescent="0.25">
      <c r="A150" t="s">
        <v>354</v>
      </c>
      <c r="B150" t="s">
        <v>355</v>
      </c>
      <c r="C150" t="s">
        <v>356</v>
      </c>
      <c r="D150" t="s">
        <v>13</v>
      </c>
      <c r="E150" t="s">
        <v>33</v>
      </c>
      <c r="F150" t="s">
        <v>82</v>
      </c>
      <c r="G150">
        <v>5</v>
      </c>
      <c r="H150">
        <v>345.04</v>
      </c>
      <c r="I150">
        <v>10</v>
      </c>
      <c r="J150" t="s">
        <v>22</v>
      </c>
    </row>
    <row r="151" spans="1:10" x14ac:dyDescent="0.25">
      <c r="A151" t="s">
        <v>297</v>
      </c>
      <c r="B151" t="s">
        <v>357</v>
      </c>
      <c r="C151" t="s">
        <v>112</v>
      </c>
      <c r="D151" t="s">
        <v>20</v>
      </c>
      <c r="E151" t="s">
        <v>62</v>
      </c>
      <c r="F151" t="s">
        <v>79</v>
      </c>
      <c r="G151">
        <v>9</v>
      </c>
      <c r="H151">
        <v>1185.22</v>
      </c>
      <c r="I151">
        <v>5</v>
      </c>
      <c r="J151" t="s">
        <v>29</v>
      </c>
    </row>
    <row r="152" spans="1:10" x14ac:dyDescent="0.25">
      <c r="A152" t="s">
        <v>358</v>
      </c>
      <c r="B152" t="s">
        <v>359</v>
      </c>
      <c r="C152" t="s">
        <v>256</v>
      </c>
      <c r="D152" t="s">
        <v>13</v>
      </c>
      <c r="E152" t="s">
        <v>62</v>
      </c>
      <c r="F152" t="s">
        <v>73</v>
      </c>
      <c r="G152">
        <v>5</v>
      </c>
      <c r="H152">
        <v>743.66</v>
      </c>
      <c r="I152">
        <v>10</v>
      </c>
      <c r="J152" t="s">
        <v>29</v>
      </c>
    </row>
    <row r="153" spans="1:10" x14ac:dyDescent="0.25">
      <c r="A153" t="s">
        <v>263</v>
      </c>
      <c r="B153" t="s">
        <v>360</v>
      </c>
      <c r="C153" t="s">
        <v>72</v>
      </c>
      <c r="D153" t="s">
        <v>13</v>
      </c>
      <c r="E153" t="s">
        <v>62</v>
      </c>
      <c r="F153" t="s">
        <v>79</v>
      </c>
      <c r="G153">
        <v>2</v>
      </c>
      <c r="H153">
        <v>621.9</v>
      </c>
      <c r="I153">
        <v>10</v>
      </c>
      <c r="J153" t="s">
        <v>98</v>
      </c>
    </row>
    <row r="154" spans="1:10" x14ac:dyDescent="0.25">
      <c r="A154" t="s">
        <v>361</v>
      </c>
      <c r="B154" t="s">
        <v>362</v>
      </c>
      <c r="C154" t="s">
        <v>204</v>
      </c>
      <c r="D154" t="s">
        <v>13</v>
      </c>
      <c r="E154" t="s">
        <v>14</v>
      </c>
      <c r="F154" t="s">
        <v>76</v>
      </c>
      <c r="G154">
        <v>10</v>
      </c>
      <c r="H154">
        <v>691.58</v>
      </c>
      <c r="I154">
        <v>10</v>
      </c>
      <c r="J154" t="s">
        <v>47</v>
      </c>
    </row>
    <row r="155" spans="1:10" x14ac:dyDescent="0.25">
      <c r="A155" t="s">
        <v>240</v>
      </c>
      <c r="B155" t="s">
        <v>363</v>
      </c>
      <c r="C155" t="s">
        <v>12</v>
      </c>
      <c r="D155" t="s">
        <v>13</v>
      </c>
      <c r="E155" t="s">
        <v>27</v>
      </c>
      <c r="F155" t="s">
        <v>42</v>
      </c>
      <c r="G155">
        <v>10</v>
      </c>
      <c r="H155">
        <v>171.27</v>
      </c>
      <c r="I155">
        <v>10</v>
      </c>
      <c r="J155" t="s">
        <v>29</v>
      </c>
    </row>
    <row r="156" spans="1:10" x14ac:dyDescent="0.25">
      <c r="A156" t="s">
        <v>364</v>
      </c>
      <c r="B156" t="s">
        <v>365</v>
      </c>
      <c r="C156" t="s">
        <v>258</v>
      </c>
      <c r="D156" t="s">
        <v>41</v>
      </c>
      <c r="E156" t="s">
        <v>14</v>
      </c>
      <c r="F156" t="s">
        <v>21</v>
      </c>
      <c r="G156">
        <v>4</v>
      </c>
      <c r="H156">
        <v>1001.37</v>
      </c>
      <c r="I156">
        <v>10</v>
      </c>
      <c r="J156" t="s">
        <v>98</v>
      </c>
    </row>
    <row r="157" spans="1:10" x14ac:dyDescent="0.25">
      <c r="A157" t="s">
        <v>328</v>
      </c>
      <c r="B157" t="s">
        <v>366</v>
      </c>
      <c r="C157" t="s">
        <v>275</v>
      </c>
      <c r="D157" t="s">
        <v>20</v>
      </c>
      <c r="E157" t="s">
        <v>27</v>
      </c>
      <c r="F157" t="s">
        <v>51</v>
      </c>
      <c r="G157">
        <v>8</v>
      </c>
      <c r="H157">
        <v>546.23</v>
      </c>
      <c r="I157">
        <v>10</v>
      </c>
      <c r="J157" t="s">
        <v>98</v>
      </c>
    </row>
    <row r="158" spans="1:10" x14ac:dyDescent="0.25">
      <c r="A158" t="s">
        <v>342</v>
      </c>
      <c r="B158" t="s">
        <v>367</v>
      </c>
      <c r="C158" t="s">
        <v>85</v>
      </c>
      <c r="D158" t="s">
        <v>26</v>
      </c>
      <c r="E158" t="s">
        <v>33</v>
      </c>
      <c r="F158" t="s">
        <v>34</v>
      </c>
      <c r="G158">
        <v>3</v>
      </c>
      <c r="H158">
        <v>120.26</v>
      </c>
      <c r="I158">
        <v>5</v>
      </c>
      <c r="J158" t="s">
        <v>29</v>
      </c>
    </row>
    <row r="159" spans="1:10" x14ac:dyDescent="0.25">
      <c r="A159" t="s">
        <v>368</v>
      </c>
      <c r="B159" t="s">
        <v>369</v>
      </c>
      <c r="C159" t="s">
        <v>370</v>
      </c>
      <c r="D159" t="s">
        <v>20</v>
      </c>
      <c r="E159" t="s">
        <v>14</v>
      </c>
      <c r="F159" t="s">
        <v>76</v>
      </c>
      <c r="G159">
        <v>7</v>
      </c>
      <c r="H159">
        <v>710.1</v>
      </c>
      <c r="I159">
        <v>10</v>
      </c>
      <c r="J159" t="s">
        <v>47</v>
      </c>
    </row>
    <row r="160" spans="1:10" x14ac:dyDescent="0.25">
      <c r="A160" t="s">
        <v>354</v>
      </c>
      <c r="B160" t="s">
        <v>371</v>
      </c>
      <c r="C160" t="s">
        <v>275</v>
      </c>
      <c r="D160" t="s">
        <v>26</v>
      </c>
      <c r="E160" t="s">
        <v>33</v>
      </c>
      <c r="F160" t="s">
        <v>46</v>
      </c>
      <c r="G160">
        <v>9</v>
      </c>
      <c r="H160">
        <v>538.15</v>
      </c>
      <c r="I160">
        <v>10</v>
      </c>
      <c r="J160" t="s">
        <v>108</v>
      </c>
    </row>
    <row r="161" spans="1:10" x14ac:dyDescent="0.25">
      <c r="A161" t="s">
        <v>372</v>
      </c>
      <c r="B161" t="s">
        <v>373</v>
      </c>
      <c r="C161" t="s">
        <v>58</v>
      </c>
      <c r="D161" t="s">
        <v>41</v>
      </c>
      <c r="E161" t="s">
        <v>33</v>
      </c>
      <c r="F161" t="s">
        <v>46</v>
      </c>
      <c r="G161">
        <v>7</v>
      </c>
      <c r="H161">
        <v>601.58000000000004</v>
      </c>
      <c r="I161">
        <v>10</v>
      </c>
      <c r="J161" t="s">
        <v>108</v>
      </c>
    </row>
    <row r="162" spans="1:10" x14ac:dyDescent="0.25">
      <c r="A162" t="s">
        <v>211</v>
      </c>
      <c r="B162" t="s">
        <v>374</v>
      </c>
      <c r="C162" t="s">
        <v>40</v>
      </c>
      <c r="D162" t="s">
        <v>13</v>
      </c>
      <c r="E162" t="s">
        <v>14</v>
      </c>
      <c r="F162" t="s">
        <v>76</v>
      </c>
      <c r="G162">
        <v>4</v>
      </c>
      <c r="H162">
        <v>325.89</v>
      </c>
      <c r="I162">
        <v>10</v>
      </c>
      <c r="J162" t="s">
        <v>16</v>
      </c>
    </row>
    <row r="163" spans="1:10" x14ac:dyDescent="0.25">
      <c r="A163" t="s">
        <v>375</v>
      </c>
      <c r="B163" t="s">
        <v>376</v>
      </c>
      <c r="C163" t="s">
        <v>192</v>
      </c>
      <c r="D163" t="s">
        <v>26</v>
      </c>
      <c r="E163" t="s">
        <v>62</v>
      </c>
      <c r="F163" t="s">
        <v>63</v>
      </c>
      <c r="G163">
        <v>9</v>
      </c>
      <c r="H163">
        <v>820.9</v>
      </c>
      <c r="I163">
        <v>5</v>
      </c>
      <c r="J163" t="s">
        <v>22</v>
      </c>
    </row>
    <row r="164" spans="1:10" x14ac:dyDescent="0.25">
      <c r="A164" t="s">
        <v>377</v>
      </c>
      <c r="B164" t="s">
        <v>378</v>
      </c>
      <c r="C164" t="s">
        <v>379</v>
      </c>
      <c r="D164" t="s">
        <v>13</v>
      </c>
      <c r="E164" t="s">
        <v>27</v>
      </c>
      <c r="F164" t="s">
        <v>42</v>
      </c>
      <c r="G164">
        <v>5</v>
      </c>
      <c r="H164">
        <v>799.61</v>
      </c>
      <c r="I164">
        <v>0</v>
      </c>
      <c r="J164" t="s">
        <v>29</v>
      </c>
    </row>
    <row r="165" spans="1:10" x14ac:dyDescent="0.25">
      <c r="A165" t="s">
        <v>380</v>
      </c>
      <c r="B165" t="s">
        <v>381</v>
      </c>
      <c r="C165" t="s">
        <v>382</v>
      </c>
      <c r="D165" t="s">
        <v>13</v>
      </c>
      <c r="E165" t="s">
        <v>62</v>
      </c>
      <c r="F165" t="s">
        <v>92</v>
      </c>
      <c r="G165">
        <v>10</v>
      </c>
      <c r="H165">
        <v>939.23</v>
      </c>
      <c r="I165">
        <v>5</v>
      </c>
      <c r="J165" t="s">
        <v>16</v>
      </c>
    </row>
    <row r="166" spans="1:10" x14ac:dyDescent="0.25">
      <c r="A166" t="s">
        <v>383</v>
      </c>
      <c r="B166" t="s">
        <v>384</v>
      </c>
      <c r="C166" t="s">
        <v>45</v>
      </c>
      <c r="D166" t="s">
        <v>41</v>
      </c>
      <c r="E166" t="s">
        <v>14</v>
      </c>
      <c r="F166" t="s">
        <v>15</v>
      </c>
      <c r="G166">
        <v>5</v>
      </c>
      <c r="H166">
        <v>263.06</v>
      </c>
      <c r="I166">
        <v>10</v>
      </c>
      <c r="J166" t="s">
        <v>22</v>
      </c>
    </row>
    <row r="167" spans="1:10" x14ac:dyDescent="0.25">
      <c r="A167" t="s">
        <v>206</v>
      </c>
      <c r="B167" t="s">
        <v>385</v>
      </c>
      <c r="C167" t="s">
        <v>386</v>
      </c>
      <c r="D167" t="s">
        <v>13</v>
      </c>
      <c r="E167" t="s">
        <v>27</v>
      </c>
      <c r="F167" t="s">
        <v>51</v>
      </c>
      <c r="G167">
        <v>3</v>
      </c>
      <c r="H167">
        <v>22.19</v>
      </c>
      <c r="I167">
        <v>15</v>
      </c>
      <c r="J167" t="s">
        <v>16</v>
      </c>
    </row>
    <row r="168" spans="1:10" x14ac:dyDescent="0.25">
      <c r="A168" t="s">
        <v>387</v>
      </c>
      <c r="B168" t="s">
        <v>388</v>
      </c>
      <c r="C168" t="s">
        <v>192</v>
      </c>
      <c r="D168" t="s">
        <v>13</v>
      </c>
      <c r="E168" t="s">
        <v>27</v>
      </c>
      <c r="F168" t="s">
        <v>42</v>
      </c>
      <c r="G168">
        <v>3</v>
      </c>
      <c r="H168">
        <v>442.76</v>
      </c>
      <c r="I168">
        <v>5</v>
      </c>
      <c r="J168" t="s">
        <v>29</v>
      </c>
    </row>
    <row r="169" spans="1:10" x14ac:dyDescent="0.25">
      <c r="A169" t="s">
        <v>389</v>
      </c>
      <c r="B169" t="s">
        <v>390</v>
      </c>
      <c r="C169" t="s">
        <v>45</v>
      </c>
      <c r="D169" t="s">
        <v>20</v>
      </c>
      <c r="E169" t="s">
        <v>27</v>
      </c>
      <c r="F169" t="s">
        <v>28</v>
      </c>
      <c r="G169">
        <v>2</v>
      </c>
      <c r="H169">
        <v>463.04</v>
      </c>
      <c r="I169">
        <v>0</v>
      </c>
      <c r="J169" t="s">
        <v>16</v>
      </c>
    </row>
    <row r="170" spans="1:10" x14ac:dyDescent="0.25">
      <c r="A170" t="s">
        <v>391</v>
      </c>
      <c r="B170" t="s">
        <v>392</v>
      </c>
      <c r="C170" t="s">
        <v>216</v>
      </c>
      <c r="D170" t="s">
        <v>26</v>
      </c>
      <c r="E170" t="s">
        <v>27</v>
      </c>
      <c r="F170" t="s">
        <v>51</v>
      </c>
      <c r="G170">
        <v>7</v>
      </c>
      <c r="H170">
        <v>141.16</v>
      </c>
      <c r="I170">
        <v>15</v>
      </c>
      <c r="J170" t="s">
        <v>22</v>
      </c>
    </row>
    <row r="171" spans="1:10" x14ac:dyDescent="0.25">
      <c r="A171" t="s">
        <v>393</v>
      </c>
      <c r="B171" t="s">
        <v>394</v>
      </c>
      <c r="C171" t="s">
        <v>256</v>
      </c>
      <c r="D171" t="s">
        <v>13</v>
      </c>
      <c r="E171" t="s">
        <v>33</v>
      </c>
      <c r="F171" t="s">
        <v>46</v>
      </c>
      <c r="G171">
        <v>3</v>
      </c>
      <c r="H171">
        <v>450.9</v>
      </c>
      <c r="I171">
        <v>5</v>
      </c>
      <c r="J171" t="s">
        <v>22</v>
      </c>
    </row>
    <row r="172" spans="1:10" x14ac:dyDescent="0.25">
      <c r="A172" t="s">
        <v>38</v>
      </c>
      <c r="B172" t="s">
        <v>395</v>
      </c>
      <c r="C172" t="s">
        <v>112</v>
      </c>
      <c r="D172" t="s">
        <v>41</v>
      </c>
      <c r="E172" t="s">
        <v>33</v>
      </c>
      <c r="F172" t="s">
        <v>82</v>
      </c>
      <c r="G172">
        <v>6</v>
      </c>
      <c r="H172">
        <v>190.9</v>
      </c>
      <c r="I172">
        <v>15</v>
      </c>
      <c r="J172" t="s">
        <v>16</v>
      </c>
    </row>
    <row r="173" spans="1:10" x14ac:dyDescent="0.25">
      <c r="A173" t="s">
        <v>240</v>
      </c>
      <c r="B173" t="s">
        <v>396</v>
      </c>
      <c r="C173" t="s">
        <v>397</v>
      </c>
      <c r="D173" t="s">
        <v>13</v>
      </c>
      <c r="E173" t="s">
        <v>14</v>
      </c>
      <c r="F173" t="s">
        <v>76</v>
      </c>
      <c r="G173">
        <v>9</v>
      </c>
      <c r="H173">
        <v>439.19</v>
      </c>
      <c r="I173">
        <v>10</v>
      </c>
      <c r="J173" t="s">
        <v>16</v>
      </c>
    </row>
    <row r="174" spans="1:10" x14ac:dyDescent="0.25">
      <c r="A174" t="s">
        <v>398</v>
      </c>
      <c r="B174" t="s">
        <v>399</v>
      </c>
      <c r="C174" t="s">
        <v>145</v>
      </c>
      <c r="D174" t="s">
        <v>41</v>
      </c>
      <c r="E174" t="s">
        <v>14</v>
      </c>
      <c r="F174" t="s">
        <v>76</v>
      </c>
      <c r="G174">
        <v>10</v>
      </c>
      <c r="H174">
        <v>464.33</v>
      </c>
      <c r="I174">
        <v>15</v>
      </c>
      <c r="J174" t="s">
        <v>108</v>
      </c>
    </row>
    <row r="175" spans="1:10" x14ac:dyDescent="0.25">
      <c r="A175" t="s">
        <v>242</v>
      </c>
      <c r="B175" t="s">
        <v>400</v>
      </c>
      <c r="C175" t="s">
        <v>318</v>
      </c>
      <c r="D175" t="s">
        <v>41</v>
      </c>
      <c r="E175" t="s">
        <v>27</v>
      </c>
      <c r="F175" t="s">
        <v>28</v>
      </c>
      <c r="G175">
        <v>3</v>
      </c>
      <c r="H175">
        <v>212.96</v>
      </c>
      <c r="I175">
        <v>10</v>
      </c>
      <c r="J175" t="s">
        <v>98</v>
      </c>
    </row>
    <row r="176" spans="1:10" x14ac:dyDescent="0.25">
      <c r="A176" t="s">
        <v>401</v>
      </c>
      <c r="B176" t="s">
        <v>402</v>
      </c>
      <c r="C176" t="s">
        <v>386</v>
      </c>
      <c r="D176" t="s">
        <v>20</v>
      </c>
      <c r="E176" t="s">
        <v>62</v>
      </c>
      <c r="F176" t="s">
        <v>79</v>
      </c>
      <c r="G176">
        <v>6</v>
      </c>
      <c r="H176">
        <v>881.39</v>
      </c>
      <c r="I176">
        <v>10</v>
      </c>
      <c r="J176" t="s">
        <v>22</v>
      </c>
    </row>
    <row r="177" spans="1:10" x14ac:dyDescent="0.25">
      <c r="A177" t="s">
        <v>83</v>
      </c>
      <c r="B177" t="s">
        <v>403</v>
      </c>
      <c r="C177" t="s">
        <v>261</v>
      </c>
      <c r="D177" t="s">
        <v>41</v>
      </c>
      <c r="E177" t="s">
        <v>14</v>
      </c>
      <c r="F177" t="s">
        <v>15</v>
      </c>
      <c r="G177">
        <v>10</v>
      </c>
      <c r="H177">
        <v>180.27</v>
      </c>
      <c r="I177">
        <v>0</v>
      </c>
      <c r="J177" t="s">
        <v>22</v>
      </c>
    </row>
    <row r="178" spans="1:10" x14ac:dyDescent="0.25">
      <c r="A178" t="s">
        <v>404</v>
      </c>
      <c r="B178" t="s">
        <v>405</v>
      </c>
      <c r="C178" t="s">
        <v>406</v>
      </c>
      <c r="D178" t="s">
        <v>13</v>
      </c>
      <c r="E178" t="s">
        <v>14</v>
      </c>
      <c r="F178" t="s">
        <v>15</v>
      </c>
      <c r="G178">
        <v>9</v>
      </c>
      <c r="H178">
        <v>153.49</v>
      </c>
      <c r="I178">
        <v>10</v>
      </c>
      <c r="J178" t="s">
        <v>98</v>
      </c>
    </row>
    <row r="179" spans="1:10" x14ac:dyDescent="0.25">
      <c r="A179" t="s">
        <v>407</v>
      </c>
      <c r="B179" t="s">
        <v>408</v>
      </c>
      <c r="C179" t="s">
        <v>19</v>
      </c>
      <c r="D179" t="s">
        <v>20</v>
      </c>
      <c r="E179" t="s">
        <v>14</v>
      </c>
      <c r="F179" t="s">
        <v>21</v>
      </c>
      <c r="G179">
        <v>7</v>
      </c>
      <c r="H179">
        <v>874.16</v>
      </c>
      <c r="I179">
        <v>10</v>
      </c>
      <c r="J179" t="s">
        <v>47</v>
      </c>
    </row>
    <row r="180" spans="1:10" x14ac:dyDescent="0.25">
      <c r="A180" t="s">
        <v>409</v>
      </c>
      <c r="B180" t="s">
        <v>410</v>
      </c>
      <c r="C180" t="s">
        <v>216</v>
      </c>
      <c r="D180" t="s">
        <v>20</v>
      </c>
      <c r="E180" t="s">
        <v>14</v>
      </c>
      <c r="F180" t="s">
        <v>21</v>
      </c>
      <c r="G180">
        <v>7</v>
      </c>
      <c r="H180">
        <v>812.32</v>
      </c>
      <c r="I180">
        <v>5</v>
      </c>
      <c r="J180" t="s">
        <v>108</v>
      </c>
    </row>
    <row r="181" spans="1:10" x14ac:dyDescent="0.25">
      <c r="A181" t="s">
        <v>411</v>
      </c>
      <c r="B181" t="s">
        <v>412</v>
      </c>
      <c r="C181" t="s">
        <v>386</v>
      </c>
      <c r="D181" t="s">
        <v>26</v>
      </c>
      <c r="E181" t="s">
        <v>62</v>
      </c>
      <c r="F181" t="s">
        <v>79</v>
      </c>
      <c r="G181">
        <v>4</v>
      </c>
      <c r="H181">
        <v>239.95</v>
      </c>
      <c r="I181">
        <v>5</v>
      </c>
      <c r="J181" t="s">
        <v>16</v>
      </c>
    </row>
    <row r="182" spans="1:10" x14ac:dyDescent="0.25">
      <c r="A182" t="s">
        <v>77</v>
      </c>
      <c r="B182" t="s">
        <v>413</v>
      </c>
      <c r="C182" t="s">
        <v>414</v>
      </c>
      <c r="D182" t="s">
        <v>26</v>
      </c>
      <c r="E182" t="s">
        <v>33</v>
      </c>
      <c r="F182" t="s">
        <v>82</v>
      </c>
      <c r="G182">
        <v>1</v>
      </c>
      <c r="H182">
        <v>594.24</v>
      </c>
      <c r="I182">
        <v>0</v>
      </c>
      <c r="J182" t="s">
        <v>98</v>
      </c>
    </row>
    <row r="183" spans="1:10" x14ac:dyDescent="0.25">
      <c r="A183" t="s">
        <v>130</v>
      </c>
      <c r="B183" t="s">
        <v>415</v>
      </c>
      <c r="C183" t="s">
        <v>135</v>
      </c>
      <c r="D183" t="s">
        <v>20</v>
      </c>
      <c r="E183" t="s">
        <v>27</v>
      </c>
      <c r="F183" t="s">
        <v>51</v>
      </c>
      <c r="G183">
        <v>2</v>
      </c>
      <c r="H183">
        <v>436.4</v>
      </c>
      <c r="I183">
        <v>0</v>
      </c>
      <c r="J183" t="s">
        <v>108</v>
      </c>
    </row>
    <row r="184" spans="1:10" x14ac:dyDescent="0.25">
      <c r="A184" t="s">
        <v>224</v>
      </c>
      <c r="B184" t="s">
        <v>416</v>
      </c>
      <c r="C184" t="s">
        <v>45</v>
      </c>
      <c r="D184" t="s">
        <v>13</v>
      </c>
      <c r="E184" t="s">
        <v>62</v>
      </c>
      <c r="F184" t="s">
        <v>73</v>
      </c>
      <c r="G184">
        <v>3</v>
      </c>
      <c r="H184">
        <v>512.62</v>
      </c>
      <c r="I184">
        <v>15</v>
      </c>
      <c r="J184" t="s">
        <v>29</v>
      </c>
    </row>
    <row r="185" spans="1:10" x14ac:dyDescent="0.25">
      <c r="A185" t="s">
        <v>417</v>
      </c>
      <c r="B185" t="s">
        <v>418</v>
      </c>
      <c r="C185" t="s">
        <v>251</v>
      </c>
      <c r="D185" t="s">
        <v>13</v>
      </c>
      <c r="E185" t="s">
        <v>33</v>
      </c>
      <c r="F185" t="s">
        <v>82</v>
      </c>
      <c r="G185">
        <v>7</v>
      </c>
      <c r="H185">
        <v>344.21</v>
      </c>
      <c r="I185">
        <v>15</v>
      </c>
      <c r="J185" t="s">
        <v>16</v>
      </c>
    </row>
    <row r="186" spans="1:10" x14ac:dyDescent="0.25">
      <c r="A186" t="s">
        <v>419</v>
      </c>
      <c r="B186" t="s">
        <v>420</v>
      </c>
      <c r="C186" t="s">
        <v>112</v>
      </c>
      <c r="D186" t="s">
        <v>13</v>
      </c>
      <c r="E186" t="s">
        <v>62</v>
      </c>
      <c r="F186" t="s">
        <v>79</v>
      </c>
      <c r="G186">
        <v>1</v>
      </c>
      <c r="H186">
        <v>249.58</v>
      </c>
      <c r="I186">
        <v>10</v>
      </c>
      <c r="J186" t="s">
        <v>29</v>
      </c>
    </row>
    <row r="187" spans="1:10" x14ac:dyDescent="0.25">
      <c r="A187" t="s">
        <v>299</v>
      </c>
      <c r="B187" t="s">
        <v>421</v>
      </c>
      <c r="C187" t="s">
        <v>422</v>
      </c>
      <c r="D187" t="s">
        <v>26</v>
      </c>
      <c r="E187" t="s">
        <v>33</v>
      </c>
      <c r="F187" t="s">
        <v>82</v>
      </c>
      <c r="G187">
        <v>1</v>
      </c>
      <c r="H187">
        <v>820.82</v>
      </c>
      <c r="I187">
        <v>15</v>
      </c>
      <c r="J187" t="s">
        <v>98</v>
      </c>
    </row>
    <row r="188" spans="1:10" x14ac:dyDescent="0.25">
      <c r="A188" t="s">
        <v>30</v>
      </c>
      <c r="B188" t="s">
        <v>423</v>
      </c>
      <c r="C188" t="s">
        <v>117</v>
      </c>
      <c r="D188" t="s">
        <v>13</v>
      </c>
      <c r="E188" t="s">
        <v>27</v>
      </c>
      <c r="F188" t="s">
        <v>42</v>
      </c>
      <c r="G188">
        <v>4</v>
      </c>
      <c r="H188">
        <v>27.11</v>
      </c>
      <c r="I188">
        <v>10</v>
      </c>
      <c r="J188" t="s">
        <v>108</v>
      </c>
    </row>
    <row r="189" spans="1:10" x14ac:dyDescent="0.25">
      <c r="A189" t="s">
        <v>424</v>
      </c>
      <c r="B189" t="s">
        <v>425</v>
      </c>
      <c r="C189" t="s">
        <v>222</v>
      </c>
      <c r="D189" t="s">
        <v>26</v>
      </c>
      <c r="E189" t="s">
        <v>14</v>
      </c>
      <c r="F189" t="s">
        <v>15</v>
      </c>
      <c r="G189">
        <v>10</v>
      </c>
      <c r="H189">
        <v>1168.23</v>
      </c>
      <c r="I189">
        <v>0</v>
      </c>
      <c r="J189" t="s">
        <v>16</v>
      </c>
    </row>
    <row r="190" spans="1:10" x14ac:dyDescent="0.25">
      <c r="A190" t="s">
        <v>263</v>
      </c>
      <c r="B190" t="s">
        <v>426</v>
      </c>
      <c r="C190" t="s">
        <v>279</v>
      </c>
      <c r="D190" t="s">
        <v>41</v>
      </c>
      <c r="E190" t="s">
        <v>33</v>
      </c>
      <c r="F190" t="s">
        <v>46</v>
      </c>
      <c r="G190">
        <v>4</v>
      </c>
      <c r="H190">
        <v>752.21</v>
      </c>
      <c r="I190">
        <v>10</v>
      </c>
      <c r="J190" t="s">
        <v>98</v>
      </c>
    </row>
    <row r="191" spans="1:10" x14ac:dyDescent="0.25">
      <c r="A191" t="s">
        <v>214</v>
      </c>
      <c r="B191" t="s">
        <v>427</v>
      </c>
      <c r="C191" t="s">
        <v>428</v>
      </c>
      <c r="D191" t="s">
        <v>41</v>
      </c>
      <c r="E191" t="s">
        <v>27</v>
      </c>
      <c r="F191" t="s">
        <v>28</v>
      </c>
      <c r="G191">
        <v>6</v>
      </c>
      <c r="H191">
        <v>363.28</v>
      </c>
      <c r="I191">
        <v>0</v>
      </c>
      <c r="J191" t="s">
        <v>29</v>
      </c>
    </row>
    <row r="192" spans="1:10" x14ac:dyDescent="0.25">
      <c r="A192" t="s">
        <v>429</v>
      </c>
      <c r="B192" t="s">
        <v>430</v>
      </c>
      <c r="C192" t="s">
        <v>216</v>
      </c>
      <c r="D192" t="s">
        <v>13</v>
      </c>
      <c r="E192" t="s">
        <v>27</v>
      </c>
      <c r="F192" t="s">
        <v>51</v>
      </c>
      <c r="G192">
        <v>1</v>
      </c>
      <c r="H192">
        <v>662.95</v>
      </c>
      <c r="I192">
        <v>15</v>
      </c>
      <c r="J192" t="s">
        <v>22</v>
      </c>
    </row>
    <row r="193" spans="1:10" x14ac:dyDescent="0.25">
      <c r="A193" t="s">
        <v>349</v>
      </c>
      <c r="B193" t="s">
        <v>431</v>
      </c>
      <c r="C193" t="s">
        <v>58</v>
      </c>
      <c r="D193" t="s">
        <v>41</v>
      </c>
      <c r="E193" t="s">
        <v>62</v>
      </c>
      <c r="F193" t="s">
        <v>63</v>
      </c>
      <c r="G193">
        <v>2</v>
      </c>
      <c r="H193">
        <v>1020.21</v>
      </c>
      <c r="I193">
        <v>0</v>
      </c>
      <c r="J193" t="s">
        <v>98</v>
      </c>
    </row>
    <row r="194" spans="1:10" x14ac:dyDescent="0.25">
      <c r="A194" t="s">
        <v>432</v>
      </c>
      <c r="B194" t="s">
        <v>433</v>
      </c>
      <c r="C194" t="s">
        <v>97</v>
      </c>
      <c r="D194" t="s">
        <v>26</v>
      </c>
      <c r="E194" t="s">
        <v>62</v>
      </c>
      <c r="F194" t="s">
        <v>73</v>
      </c>
      <c r="G194">
        <v>6</v>
      </c>
      <c r="H194">
        <v>907.07</v>
      </c>
      <c r="I194">
        <v>5</v>
      </c>
      <c r="J194" t="s">
        <v>16</v>
      </c>
    </row>
    <row r="195" spans="1:10" x14ac:dyDescent="0.25">
      <c r="A195" t="s">
        <v>219</v>
      </c>
      <c r="B195" t="s">
        <v>434</v>
      </c>
      <c r="C195" t="s">
        <v>58</v>
      </c>
      <c r="D195" t="s">
        <v>20</v>
      </c>
      <c r="E195" t="s">
        <v>27</v>
      </c>
      <c r="F195" t="s">
        <v>42</v>
      </c>
      <c r="G195">
        <v>6</v>
      </c>
      <c r="H195">
        <v>831.55</v>
      </c>
      <c r="I195">
        <v>10</v>
      </c>
      <c r="J195" t="s">
        <v>98</v>
      </c>
    </row>
    <row r="196" spans="1:10" x14ac:dyDescent="0.25">
      <c r="A196" t="s">
        <v>435</v>
      </c>
      <c r="B196" t="s">
        <v>436</v>
      </c>
      <c r="C196" t="s">
        <v>12</v>
      </c>
      <c r="D196" t="s">
        <v>26</v>
      </c>
      <c r="E196" t="s">
        <v>27</v>
      </c>
      <c r="F196" t="s">
        <v>28</v>
      </c>
      <c r="G196">
        <v>6</v>
      </c>
      <c r="H196">
        <v>964.52</v>
      </c>
      <c r="I196">
        <v>0</v>
      </c>
      <c r="J196" t="s">
        <v>108</v>
      </c>
    </row>
    <row r="197" spans="1:10" x14ac:dyDescent="0.25">
      <c r="A197" t="s">
        <v>299</v>
      </c>
      <c r="B197" t="s">
        <v>437</v>
      </c>
      <c r="C197" t="s">
        <v>158</v>
      </c>
      <c r="D197" t="s">
        <v>41</v>
      </c>
      <c r="E197" t="s">
        <v>27</v>
      </c>
      <c r="F197" t="s">
        <v>51</v>
      </c>
      <c r="G197">
        <v>1</v>
      </c>
      <c r="H197">
        <v>222.59</v>
      </c>
      <c r="I197">
        <v>0</v>
      </c>
      <c r="J197" t="s">
        <v>47</v>
      </c>
    </row>
    <row r="198" spans="1:10" x14ac:dyDescent="0.25">
      <c r="A198" t="s">
        <v>193</v>
      </c>
      <c r="B198" t="s">
        <v>438</v>
      </c>
      <c r="C198" t="s">
        <v>386</v>
      </c>
      <c r="D198" t="s">
        <v>26</v>
      </c>
      <c r="E198" t="s">
        <v>27</v>
      </c>
      <c r="F198" t="s">
        <v>42</v>
      </c>
      <c r="G198">
        <v>5</v>
      </c>
      <c r="H198">
        <v>289.16000000000003</v>
      </c>
      <c r="I198">
        <v>15</v>
      </c>
      <c r="J198" t="s">
        <v>47</v>
      </c>
    </row>
    <row r="199" spans="1:10" x14ac:dyDescent="0.25">
      <c r="A199" t="s">
        <v>64</v>
      </c>
      <c r="B199" t="s">
        <v>439</v>
      </c>
      <c r="C199" t="s">
        <v>61</v>
      </c>
      <c r="D199" t="s">
        <v>26</v>
      </c>
      <c r="E199" t="s">
        <v>33</v>
      </c>
      <c r="F199" t="s">
        <v>82</v>
      </c>
      <c r="G199">
        <v>1</v>
      </c>
      <c r="H199">
        <v>486.83</v>
      </c>
      <c r="I199">
        <v>5</v>
      </c>
      <c r="J199" t="s">
        <v>16</v>
      </c>
    </row>
    <row r="200" spans="1:10" x14ac:dyDescent="0.25">
      <c r="A200" t="s">
        <v>224</v>
      </c>
      <c r="B200" t="s">
        <v>440</v>
      </c>
      <c r="C200" t="s">
        <v>135</v>
      </c>
      <c r="D200" t="s">
        <v>13</v>
      </c>
      <c r="E200" t="s">
        <v>62</v>
      </c>
      <c r="F200" t="s">
        <v>79</v>
      </c>
      <c r="G200">
        <v>4</v>
      </c>
      <c r="H200">
        <v>513.63</v>
      </c>
      <c r="I200">
        <v>0</v>
      </c>
      <c r="J200" t="s">
        <v>29</v>
      </c>
    </row>
    <row r="201" spans="1:10" x14ac:dyDescent="0.25">
      <c r="A201" t="s">
        <v>441</v>
      </c>
      <c r="B201" t="s">
        <v>442</v>
      </c>
      <c r="C201" t="s">
        <v>50</v>
      </c>
      <c r="D201" t="s">
        <v>13</v>
      </c>
      <c r="E201" t="s">
        <v>27</v>
      </c>
      <c r="F201" t="s">
        <v>28</v>
      </c>
      <c r="G201">
        <v>4</v>
      </c>
      <c r="H201">
        <v>740.62</v>
      </c>
      <c r="I201">
        <v>0</v>
      </c>
      <c r="J201" t="s">
        <v>29</v>
      </c>
    </row>
    <row r="202" spans="1:10" x14ac:dyDescent="0.25">
      <c r="A202" t="s">
        <v>48</v>
      </c>
      <c r="B202" t="s">
        <v>443</v>
      </c>
      <c r="C202" t="s">
        <v>97</v>
      </c>
      <c r="D202" t="s">
        <v>26</v>
      </c>
      <c r="E202" t="s">
        <v>27</v>
      </c>
      <c r="F202" t="s">
        <v>51</v>
      </c>
      <c r="G202">
        <v>9</v>
      </c>
      <c r="H202">
        <v>669.15</v>
      </c>
      <c r="I202">
        <v>10</v>
      </c>
      <c r="J202" t="s">
        <v>98</v>
      </c>
    </row>
    <row r="203" spans="1:10" x14ac:dyDescent="0.25">
      <c r="A203" t="s">
        <v>197</v>
      </c>
      <c r="B203" t="s">
        <v>444</v>
      </c>
      <c r="C203" t="s">
        <v>201</v>
      </c>
      <c r="D203" t="s">
        <v>26</v>
      </c>
      <c r="E203" t="s">
        <v>14</v>
      </c>
      <c r="F203" t="s">
        <v>76</v>
      </c>
      <c r="G203">
        <v>5</v>
      </c>
      <c r="H203">
        <v>808.51</v>
      </c>
      <c r="I203">
        <v>15</v>
      </c>
      <c r="J203" t="s">
        <v>16</v>
      </c>
    </row>
    <row r="204" spans="1:10" x14ac:dyDescent="0.25">
      <c r="A204" t="s">
        <v>247</v>
      </c>
      <c r="B204" t="s">
        <v>445</v>
      </c>
      <c r="C204" t="s">
        <v>129</v>
      </c>
      <c r="D204" t="s">
        <v>41</v>
      </c>
      <c r="E204" t="s">
        <v>33</v>
      </c>
      <c r="F204" t="s">
        <v>46</v>
      </c>
      <c r="G204">
        <v>2</v>
      </c>
      <c r="H204">
        <v>452.17</v>
      </c>
      <c r="I204">
        <v>10</v>
      </c>
      <c r="J204" t="s">
        <v>98</v>
      </c>
    </row>
    <row r="205" spans="1:10" x14ac:dyDescent="0.25">
      <c r="A205" t="s">
        <v>446</v>
      </c>
      <c r="B205" t="s">
        <v>447</v>
      </c>
      <c r="C205" t="s">
        <v>448</v>
      </c>
      <c r="D205" t="s">
        <v>13</v>
      </c>
      <c r="E205" t="s">
        <v>27</v>
      </c>
      <c r="F205" t="s">
        <v>28</v>
      </c>
      <c r="G205">
        <v>4</v>
      </c>
      <c r="H205">
        <v>254.43</v>
      </c>
      <c r="I205">
        <v>10</v>
      </c>
      <c r="J205" t="s">
        <v>47</v>
      </c>
    </row>
    <row r="206" spans="1:10" x14ac:dyDescent="0.25">
      <c r="A206" t="s">
        <v>449</v>
      </c>
      <c r="B206" t="s">
        <v>450</v>
      </c>
      <c r="C206" t="s">
        <v>145</v>
      </c>
      <c r="D206" t="s">
        <v>26</v>
      </c>
      <c r="E206" t="s">
        <v>14</v>
      </c>
      <c r="F206" t="s">
        <v>21</v>
      </c>
      <c r="G206">
        <v>10</v>
      </c>
      <c r="H206">
        <v>82.28</v>
      </c>
      <c r="I206">
        <v>15</v>
      </c>
      <c r="J206" t="s">
        <v>98</v>
      </c>
    </row>
    <row r="207" spans="1:10" x14ac:dyDescent="0.25">
      <c r="A207" t="s">
        <v>339</v>
      </c>
      <c r="B207" t="s">
        <v>451</v>
      </c>
      <c r="C207" t="s">
        <v>117</v>
      </c>
      <c r="D207" t="s">
        <v>13</v>
      </c>
      <c r="E207" t="s">
        <v>14</v>
      </c>
      <c r="F207" t="s">
        <v>21</v>
      </c>
      <c r="G207">
        <v>5</v>
      </c>
      <c r="H207">
        <v>589.97</v>
      </c>
      <c r="I207">
        <v>15</v>
      </c>
      <c r="J207" t="s">
        <v>16</v>
      </c>
    </row>
    <row r="208" spans="1:10" x14ac:dyDescent="0.25">
      <c r="A208" t="s">
        <v>291</v>
      </c>
      <c r="B208" t="s">
        <v>452</v>
      </c>
      <c r="C208" t="s">
        <v>155</v>
      </c>
      <c r="D208" t="s">
        <v>41</v>
      </c>
      <c r="E208" t="s">
        <v>27</v>
      </c>
      <c r="F208" t="s">
        <v>42</v>
      </c>
      <c r="G208">
        <v>9</v>
      </c>
      <c r="H208">
        <v>680.34</v>
      </c>
      <c r="I208">
        <v>5</v>
      </c>
      <c r="J208" t="s">
        <v>47</v>
      </c>
    </row>
    <row r="209" spans="1:10" x14ac:dyDescent="0.25">
      <c r="A209" t="s">
        <v>23</v>
      </c>
      <c r="B209" t="s">
        <v>453</v>
      </c>
      <c r="C209" t="s">
        <v>25</v>
      </c>
      <c r="D209" t="s">
        <v>26</v>
      </c>
      <c r="E209" t="s">
        <v>14</v>
      </c>
      <c r="F209" t="s">
        <v>21</v>
      </c>
      <c r="G209">
        <v>2</v>
      </c>
      <c r="H209">
        <v>257.3</v>
      </c>
      <c r="I209">
        <v>15</v>
      </c>
      <c r="J209" t="s">
        <v>98</v>
      </c>
    </row>
    <row r="210" spans="1:10" x14ac:dyDescent="0.25">
      <c r="A210" t="s">
        <v>349</v>
      </c>
      <c r="B210" t="s">
        <v>454</v>
      </c>
      <c r="C210" t="s">
        <v>455</v>
      </c>
      <c r="D210" t="s">
        <v>41</v>
      </c>
      <c r="E210" t="s">
        <v>14</v>
      </c>
      <c r="F210" t="s">
        <v>15</v>
      </c>
      <c r="G210">
        <v>4</v>
      </c>
      <c r="H210">
        <v>814.94</v>
      </c>
      <c r="I210">
        <v>10</v>
      </c>
      <c r="J210" t="s">
        <v>22</v>
      </c>
    </row>
    <row r="211" spans="1:10" x14ac:dyDescent="0.25">
      <c r="A211" t="s">
        <v>247</v>
      </c>
      <c r="B211" t="s">
        <v>456</v>
      </c>
      <c r="C211" t="s">
        <v>457</v>
      </c>
      <c r="D211" t="s">
        <v>20</v>
      </c>
      <c r="E211" t="s">
        <v>14</v>
      </c>
      <c r="F211" t="s">
        <v>15</v>
      </c>
      <c r="G211">
        <v>8</v>
      </c>
      <c r="H211">
        <v>31.39</v>
      </c>
      <c r="I211">
        <v>10</v>
      </c>
      <c r="J211" t="s">
        <v>22</v>
      </c>
    </row>
    <row r="212" spans="1:10" x14ac:dyDescent="0.25">
      <c r="A212" t="s">
        <v>458</v>
      </c>
      <c r="B212" t="s">
        <v>459</v>
      </c>
      <c r="C212" t="s">
        <v>117</v>
      </c>
      <c r="D212" t="s">
        <v>26</v>
      </c>
      <c r="E212" t="s">
        <v>27</v>
      </c>
      <c r="F212" t="s">
        <v>28</v>
      </c>
      <c r="G212">
        <v>7</v>
      </c>
      <c r="H212">
        <v>752.63</v>
      </c>
      <c r="I212">
        <v>15</v>
      </c>
      <c r="J212" t="s">
        <v>29</v>
      </c>
    </row>
    <row r="213" spans="1:10" x14ac:dyDescent="0.25">
      <c r="A213" t="s">
        <v>151</v>
      </c>
      <c r="B213" t="s">
        <v>460</v>
      </c>
      <c r="C213" t="s">
        <v>158</v>
      </c>
      <c r="D213" t="s">
        <v>41</v>
      </c>
      <c r="E213" t="s">
        <v>27</v>
      </c>
      <c r="F213" t="s">
        <v>42</v>
      </c>
      <c r="G213">
        <v>4</v>
      </c>
      <c r="H213">
        <v>639.24</v>
      </c>
      <c r="I213">
        <v>10</v>
      </c>
      <c r="J213" t="s">
        <v>22</v>
      </c>
    </row>
    <row r="214" spans="1:10" x14ac:dyDescent="0.25">
      <c r="A214" t="s">
        <v>105</v>
      </c>
      <c r="B214" t="s">
        <v>461</v>
      </c>
      <c r="C214" t="s">
        <v>333</v>
      </c>
      <c r="D214" t="s">
        <v>26</v>
      </c>
      <c r="E214" t="s">
        <v>14</v>
      </c>
      <c r="F214" t="s">
        <v>15</v>
      </c>
      <c r="G214">
        <v>10</v>
      </c>
      <c r="H214">
        <v>464.6</v>
      </c>
      <c r="I214">
        <v>5</v>
      </c>
      <c r="J214" t="s">
        <v>47</v>
      </c>
    </row>
    <row r="215" spans="1:10" x14ac:dyDescent="0.25">
      <c r="A215" t="s">
        <v>43</v>
      </c>
      <c r="B215" t="s">
        <v>462</v>
      </c>
      <c r="C215" t="s">
        <v>40</v>
      </c>
      <c r="D215" t="s">
        <v>20</v>
      </c>
      <c r="E215" t="s">
        <v>14</v>
      </c>
      <c r="F215" t="s">
        <v>21</v>
      </c>
      <c r="G215">
        <v>8</v>
      </c>
      <c r="H215">
        <v>56.18</v>
      </c>
      <c r="I215">
        <v>10</v>
      </c>
      <c r="J215" t="s">
        <v>98</v>
      </c>
    </row>
    <row r="216" spans="1:10" x14ac:dyDescent="0.25">
      <c r="A216" t="s">
        <v>463</v>
      </c>
      <c r="B216" t="s">
        <v>464</v>
      </c>
      <c r="C216" t="s">
        <v>256</v>
      </c>
      <c r="D216" t="s">
        <v>26</v>
      </c>
      <c r="E216" t="s">
        <v>27</v>
      </c>
      <c r="F216" t="s">
        <v>28</v>
      </c>
      <c r="G216">
        <v>2</v>
      </c>
      <c r="H216">
        <v>743.72</v>
      </c>
      <c r="I216">
        <v>0</v>
      </c>
      <c r="J216" t="s">
        <v>22</v>
      </c>
    </row>
    <row r="217" spans="1:10" x14ac:dyDescent="0.25">
      <c r="A217" t="s">
        <v>465</v>
      </c>
      <c r="B217" t="s">
        <v>466</v>
      </c>
      <c r="C217" t="s">
        <v>265</v>
      </c>
      <c r="D217" t="s">
        <v>26</v>
      </c>
      <c r="E217" t="s">
        <v>27</v>
      </c>
      <c r="F217" t="s">
        <v>51</v>
      </c>
      <c r="G217">
        <v>9</v>
      </c>
      <c r="H217">
        <v>141.15</v>
      </c>
      <c r="I217">
        <v>5</v>
      </c>
      <c r="J217" t="s">
        <v>16</v>
      </c>
    </row>
    <row r="218" spans="1:10" x14ac:dyDescent="0.25">
      <c r="A218" t="s">
        <v>319</v>
      </c>
      <c r="B218" t="s">
        <v>467</v>
      </c>
      <c r="C218" t="s">
        <v>229</v>
      </c>
      <c r="D218" t="s">
        <v>20</v>
      </c>
      <c r="E218" t="s">
        <v>14</v>
      </c>
      <c r="F218" t="s">
        <v>15</v>
      </c>
      <c r="G218">
        <v>2</v>
      </c>
      <c r="H218">
        <v>13.79</v>
      </c>
      <c r="I218">
        <v>15</v>
      </c>
      <c r="J218" t="s">
        <v>16</v>
      </c>
    </row>
    <row r="219" spans="1:10" x14ac:dyDescent="0.25">
      <c r="A219" t="s">
        <v>276</v>
      </c>
      <c r="B219" t="s">
        <v>468</v>
      </c>
      <c r="C219" t="s">
        <v>88</v>
      </c>
      <c r="D219" t="s">
        <v>26</v>
      </c>
      <c r="E219" t="s">
        <v>62</v>
      </c>
      <c r="F219" t="s">
        <v>63</v>
      </c>
      <c r="G219">
        <v>1</v>
      </c>
      <c r="H219">
        <v>821.28</v>
      </c>
      <c r="I219">
        <v>10</v>
      </c>
      <c r="J219" t="s">
        <v>98</v>
      </c>
    </row>
    <row r="220" spans="1:10" x14ac:dyDescent="0.25">
      <c r="A220" t="s">
        <v>330</v>
      </c>
      <c r="B220" t="s">
        <v>469</v>
      </c>
      <c r="C220" t="s">
        <v>265</v>
      </c>
      <c r="D220" t="s">
        <v>13</v>
      </c>
      <c r="E220" t="s">
        <v>33</v>
      </c>
      <c r="F220" t="s">
        <v>34</v>
      </c>
      <c r="G220">
        <v>8</v>
      </c>
      <c r="H220">
        <v>907.26</v>
      </c>
      <c r="I220">
        <v>5</v>
      </c>
      <c r="J220" t="s">
        <v>47</v>
      </c>
    </row>
    <row r="221" spans="1:10" x14ac:dyDescent="0.25">
      <c r="A221" t="s">
        <v>458</v>
      </c>
      <c r="B221" t="s">
        <v>470</v>
      </c>
      <c r="C221" t="s">
        <v>104</v>
      </c>
      <c r="D221" t="s">
        <v>20</v>
      </c>
      <c r="E221" t="s">
        <v>14</v>
      </c>
      <c r="F221" t="s">
        <v>15</v>
      </c>
      <c r="G221">
        <v>8</v>
      </c>
      <c r="H221">
        <v>1013.73</v>
      </c>
      <c r="I221">
        <v>15</v>
      </c>
      <c r="J221" t="s">
        <v>16</v>
      </c>
    </row>
    <row r="222" spans="1:10" x14ac:dyDescent="0.25">
      <c r="A222" t="s">
        <v>471</v>
      </c>
      <c r="B222" t="s">
        <v>472</v>
      </c>
      <c r="C222" t="s">
        <v>318</v>
      </c>
      <c r="D222" t="s">
        <v>41</v>
      </c>
      <c r="E222" t="s">
        <v>27</v>
      </c>
      <c r="F222" t="s">
        <v>42</v>
      </c>
      <c r="G222">
        <v>7</v>
      </c>
      <c r="H222">
        <v>1161.8</v>
      </c>
      <c r="I222">
        <v>5</v>
      </c>
      <c r="J222" t="s">
        <v>108</v>
      </c>
    </row>
    <row r="223" spans="1:10" x14ac:dyDescent="0.25">
      <c r="A223" t="s">
        <v>473</v>
      </c>
      <c r="B223" t="s">
        <v>474</v>
      </c>
      <c r="C223" t="s">
        <v>216</v>
      </c>
      <c r="D223" t="s">
        <v>26</v>
      </c>
      <c r="E223" t="s">
        <v>33</v>
      </c>
      <c r="F223" t="s">
        <v>46</v>
      </c>
      <c r="G223">
        <v>3</v>
      </c>
      <c r="H223">
        <v>357.46</v>
      </c>
      <c r="I223">
        <v>5</v>
      </c>
      <c r="J223" t="s">
        <v>29</v>
      </c>
    </row>
    <row r="224" spans="1:10" x14ac:dyDescent="0.25">
      <c r="A224" t="s">
        <v>335</v>
      </c>
      <c r="B224" t="s">
        <v>475</v>
      </c>
      <c r="C224" t="s">
        <v>476</v>
      </c>
      <c r="D224" t="s">
        <v>20</v>
      </c>
      <c r="E224" t="s">
        <v>14</v>
      </c>
      <c r="F224" t="s">
        <v>15</v>
      </c>
      <c r="G224">
        <v>7</v>
      </c>
      <c r="H224">
        <v>523.88</v>
      </c>
      <c r="I224">
        <v>15</v>
      </c>
      <c r="J224" t="s">
        <v>16</v>
      </c>
    </row>
    <row r="225" spans="1:10" x14ac:dyDescent="0.25">
      <c r="A225" t="s">
        <v>477</v>
      </c>
      <c r="B225" t="s">
        <v>478</v>
      </c>
      <c r="C225" t="s">
        <v>275</v>
      </c>
      <c r="D225" t="s">
        <v>41</v>
      </c>
      <c r="E225" t="s">
        <v>14</v>
      </c>
      <c r="F225" t="s">
        <v>21</v>
      </c>
      <c r="G225">
        <v>7</v>
      </c>
      <c r="H225">
        <v>491.11</v>
      </c>
      <c r="I225">
        <v>0</v>
      </c>
      <c r="J225" t="s">
        <v>98</v>
      </c>
    </row>
    <row r="226" spans="1:10" x14ac:dyDescent="0.25">
      <c r="A226" t="s">
        <v>148</v>
      </c>
      <c r="B226" t="s">
        <v>479</v>
      </c>
      <c r="C226" t="s">
        <v>91</v>
      </c>
      <c r="D226" t="s">
        <v>41</v>
      </c>
      <c r="E226" t="s">
        <v>14</v>
      </c>
      <c r="F226" t="s">
        <v>76</v>
      </c>
      <c r="G226">
        <v>1</v>
      </c>
      <c r="H226">
        <v>775.78</v>
      </c>
      <c r="I226">
        <v>5</v>
      </c>
      <c r="J226" t="s">
        <v>108</v>
      </c>
    </row>
    <row r="227" spans="1:10" x14ac:dyDescent="0.25">
      <c r="A227" t="s">
        <v>48</v>
      </c>
      <c r="B227" t="s">
        <v>480</v>
      </c>
      <c r="C227" t="s">
        <v>104</v>
      </c>
      <c r="D227" t="s">
        <v>41</v>
      </c>
      <c r="E227" t="s">
        <v>27</v>
      </c>
      <c r="F227" t="s">
        <v>42</v>
      </c>
      <c r="G227">
        <v>5</v>
      </c>
      <c r="H227">
        <v>324</v>
      </c>
      <c r="I227">
        <v>15</v>
      </c>
      <c r="J227" t="s">
        <v>108</v>
      </c>
    </row>
    <row r="228" spans="1:10" x14ac:dyDescent="0.25">
      <c r="A228" t="s">
        <v>316</v>
      </c>
      <c r="B228" t="s">
        <v>481</v>
      </c>
      <c r="C228" t="s">
        <v>168</v>
      </c>
      <c r="D228" t="s">
        <v>41</v>
      </c>
      <c r="E228" t="s">
        <v>14</v>
      </c>
      <c r="F228" t="s">
        <v>21</v>
      </c>
      <c r="G228">
        <v>9</v>
      </c>
      <c r="H228">
        <v>811.44</v>
      </c>
      <c r="I228">
        <v>15</v>
      </c>
      <c r="J228" t="s">
        <v>29</v>
      </c>
    </row>
    <row r="229" spans="1:10" x14ac:dyDescent="0.25">
      <c r="A229" t="s">
        <v>482</v>
      </c>
      <c r="B229" t="s">
        <v>483</v>
      </c>
      <c r="C229" t="s">
        <v>186</v>
      </c>
      <c r="D229" t="s">
        <v>13</v>
      </c>
      <c r="E229" t="s">
        <v>62</v>
      </c>
      <c r="F229" t="s">
        <v>73</v>
      </c>
      <c r="G229">
        <v>9</v>
      </c>
      <c r="H229">
        <v>1014.2</v>
      </c>
      <c r="I229">
        <v>10</v>
      </c>
      <c r="J229" t="s">
        <v>108</v>
      </c>
    </row>
    <row r="230" spans="1:10" x14ac:dyDescent="0.25">
      <c r="A230" t="s">
        <v>321</v>
      </c>
      <c r="B230" t="s">
        <v>484</v>
      </c>
      <c r="C230" t="s">
        <v>135</v>
      </c>
      <c r="D230" t="s">
        <v>20</v>
      </c>
      <c r="E230" t="s">
        <v>62</v>
      </c>
      <c r="F230" t="s">
        <v>92</v>
      </c>
      <c r="G230">
        <v>5</v>
      </c>
      <c r="H230">
        <v>947.47</v>
      </c>
      <c r="I230">
        <v>15</v>
      </c>
      <c r="J230" t="s">
        <v>29</v>
      </c>
    </row>
    <row r="231" spans="1:10" x14ac:dyDescent="0.25">
      <c r="A231" t="s">
        <v>417</v>
      </c>
      <c r="B231" t="s">
        <v>485</v>
      </c>
      <c r="C231" t="s">
        <v>32</v>
      </c>
      <c r="D231" t="s">
        <v>13</v>
      </c>
      <c r="E231" t="s">
        <v>33</v>
      </c>
      <c r="F231" t="s">
        <v>82</v>
      </c>
      <c r="G231">
        <v>9</v>
      </c>
      <c r="H231">
        <v>149.75</v>
      </c>
      <c r="I231">
        <v>15</v>
      </c>
      <c r="J231" t="s">
        <v>47</v>
      </c>
    </row>
    <row r="232" spans="1:10" x14ac:dyDescent="0.25">
      <c r="A232" t="s">
        <v>486</v>
      </c>
      <c r="B232" t="s">
        <v>487</v>
      </c>
      <c r="C232" t="s">
        <v>142</v>
      </c>
      <c r="D232" t="s">
        <v>13</v>
      </c>
      <c r="E232" t="s">
        <v>14</v>
      </c>
      <c r="F232" t="s">
        <v>15</v>
      </c>
      <c r="G232">
        <v>1</v>
      </c>
      <c r="H232">
        <v>1023.52</v>
      </c>
      <c r="I232">
        <v>5</v>
      </c>
      <c r="J232" t="s">
        <v>29</v>
      </c>
    </row>
    <row r="233" spans="1:10" x14ac:dyDescent="0.25">
      <c r="A233" t="s">
        <v>411</v>
      </c>
      <c r="B233" t="s">
        <v>488</v>
      </c>
      <c r="C233" t="s">
        <v>251</v>
      </c>
      <c r="D233" t="s">
        <v>26</v>
      </c>
      <c r="E233" t="s">
        <v>14</v>
      </c>
      <c r="F233" t="s">
        <v>21</v>
      </c>
      <c r="G233">
        <v>9</v>
      </c>
      <c r="H233">
        <v>826.29</v>
      </c>
      <c r="I233">
        <v>10</v>
      </c>
      <c r="J233" t="s">
        <v>22</v>
      </c>
    </row>
    <row r="234" spans="1:10" x14ac:dyDescent="0.25">
      <c r="A234" t="s">
        <v>383</v>
      </c>
      <c r="B234" t="s">
        <v>489</v>
      </c>
      <c r="C234" t="s">
        <v>88</v>
      </c>
      <c r="D234" t="s">
        <v>20</v>
      </c>
      <c r="E234" t="s">
        <v>14</v>
      </c>
      <c r="F234" t="s">
        <v>15</v>
      </c>
      <c r="G234">
        <v>3</v>
      </c>
      <c r="H234">
        <v>342.31</v>
      </c>
      <c r="I234">
        <v>5</v>
      </c>
      <c r="J234" t="s">
        <v>29</v>
      </c>
    </row>
    <row r="235" spans="1:10" x14ac:dyDescent="0.25">
      <c r="A235" t="s">
        <v>490</v>
      </c>
      <c r="B235" t="s">
        <v>491</v>
      </c>
      <c r="C235" t="s">
        <v>50</v>
      </c>
      <c r="D235" t="s">
        <v>13</v>
      </c>
      <c r="E235" t="s">
        <v>33</v>
      </c>
      <c r="F235" t="s">
        <v>46</v>
      </c>
      <c r="G235">
        <v>5</v>
      </c>
      <c r="H235">
        <v>484.27</v>
      </c>
      <c r="I235">
        <v>0</v>
      </c>
      <c r="J235" t="s">
        <v>22</v>
      </c>
    </row>
    <row r="236" spans="1:10" x14ac:dyDescent="0.25">
      <c r="A236" t="s">
        <v>237</v>
      </c>
      <c r="B236" t="s">
        <v>492</v>
      </c>
      <c r="C236" t="s">
        <v>422</v>
      </c>
      <c r="D236" t="s">
        <v>20</v>
      </c>
      <c r="E236" t="s">
        <v>33</v>
      </c>
      <c r="F236" t="s">
        <v>34</v>
      </c>
      <c r="G236">
        <v>7</v>
      </c>
      <c r="H236">
        <v>1177.26</v>
      </c>
      <c r="I236">
        <v>15</v>
      </c>
      <c r="J236" t="s">
        <v>108</v>
      </c>
    </row>
    <row r="237" spans="1:10" x14ac:dyDescent="0.25">
      <c r="A237" t="s">
        <v>43</v>
      </c>
      <c r="B237" t="s">
        <v>493</v>
      </c>
      <c r="C237" t="s">
        <v>258</v>
      </c>
      <c r="D237" t="s">
        <v>20</v>
      </c>
      <c r="E237" t="s">
        <v>14</v>
      </c>
      <c r="F237" t="s">
        <v>15</v>
      </c>
      <c r="G237">
        <v>2</v>
      </c>
      <c r="H237">
        <v>492.76</v>
      </c>
      <c r="I237">
        <v>5</v>
      </c>
      <c r="J237" t="s">
        <v>29</v>
      </c>
    </row>
    <row r="238" spans="1:10" x14ac:dyDescent="0.25">
      <c r="A238" t="s">
        <v>249</v>
      </c>
      <c r="B238" t="s">
        <v>494</v>
      </c>
      <c r="C238" t="s">
        <v>40</v>
      </c>
      <c r="D238" t="s">
        <v>41</v>
      </c>
      <c r="E238" t="s">
        <v>27</v>
      </c>
      <c r="F238" t="s">
        <v>28</v>
      </c>
      <c r="G238">
        <v>6</v>
      </c>
      <c r="H238">
        <v>451.74</v>
      </c>
      <c r="I238">
        <v>15</v>
      </c>
      <c r="J238" t="s">
        <v>29</v>
      </c>
    </row>
    <row r="239" spans="1:10" x14ac:dyDescent="0.25">
      <c r="A239" t="s">
        <v>328</v>
      </c>
      <c r="B239" t="s">
        <v>495</v>
      </c>
      <c r="C239" t="s">
        <v>19</v>
      </c>
      <c r="D239" t="s">
        <v>20</v>
      </c>
      <c r="E239" t="s">
        <v>33</v>
      </c>
      <c r="F239" t="s">
        <v>46</v>
      </c>
      <c r="G239">
        <v>10</v>
      </c>
      <c r="H239">
        <v>650.41999999999996</v>
      </c>
      <c r="I239">
        <v>0</v>
      </c>
      <c r="J239" t="s">
        <v>22</v>
      </c>
    </row>
    <row r="240" spans="1:10" x14ac:dyDescent="0.25">
      <c r="A240" t="s">
        <v>398</v>
      </c>
      <c r="B240" t="s">
        <v>496</v>
      </c>
      <c r="C240" t="s">
        <v>356</v>
      </c>
      <c r="D240" t="s">
        <v>41</v>
      </c>
      <c r="E240" t="s">
        <v>62</v>
      </c>
      <c r="F240" t="s">
        <v>73</v>
      </c>
      <c r="G240">
        <v>9</v>
      </c>
      <c r="H240">
        <v>116.9</v>
      </c>
      <c r="I240">
        <v>5</v>
      </c>
      <c r="J240" t="s">
        <v>29</v>
      </c>
    </row>
    <row r="241" spans="1:10" x14ac:dyDescent="0.25">
      <c r="A241" t="s">
        <v>127</v>
      </c>
      <c r="B241" t="s">
        <v>497</v>
      </c>
      <c r="C241" t="s">
        <v>58</v>
      </c>
      <c r="D241" t="s">
        <v>26</v>
      </c>
      <c r="E241" t="s">
        <v>62</v>
      </c>
      <c r="F241" t="s">
        <v>79</v>
      </c>
      <c r="G241">
        <v>8</v>
      </c>
      <c r="H241">
        <v>126.64</v>
      </c>
      <c r="I241">
        <v>15</v>
      </c>
      <c r="J241" t="s">
        <v>29</v>
      </c>
    </row>
    <row r="242" spans="1:10" x14ac:dyDescent="0.25">
      <c r="A242" t="s">
        <v>232</v>
      </c>
      <c r="B242" t="s">
        <v>498</v>
      </c>
      <c r="C242" t="s">
        <v>145</v>
      </c>
      <c r="D242" t="s">
        <v>26</v>
      </c>
      <c r="E242" t="s">
        <v>27</v>
      </c>
      <c r="F242" t="s">
        <v>42</v>
      </c>
      <c r="G242">
        <v>6</v>
      </c>
      <c r="H242">
        <v>562.16999999999996</v>
      </c>
      <c r="I242">
        <v>0</v>
      </c>
      <c r="J242" t="s">
        <v>47</v>
      </c>
    </row>
    <row r="243" spans="1:10" x14ac:dyDescent="0.25">
      <c r="A243" t="s">
        <v>297</v>
      </c>
      <c r="B243" t="s">
        <v>499</v>
      </c>
      <c r="C243" t="s">
        <v>370</v>
      </c>
      <c r="D243" t="s">
        <v>26</v>
      </c>
      <c r="E243" t="s">
        <v>27</v>
      </c>
      <c r="F243" t="s">
        <v>51</v>
      </c>
      <c r="G243">
        <v>6</v>
      </c>
      <c r="H243">
        <v>898.24</v>
      </c>
      <c r="I243">
        <v>0</v>
      </c>
      <c r="J243" t="s">
        <v>47</v>
      </c>
    </row>
    <row r="244" spans="1:10" x14ac:dyDescent="0.25">
      <c r="A244" t="s">
        <v>118</v>
      </c>
      <c r="B244" t="s">
        <v>500</v>
      </c>
      <c r="C244" t="s">
        <v>314</v>
      </c>
      <c r="D244" t="s">
        <v>41</v>
      </c>
      <c r="E244" t="s">
        <v>14</v>
      </c>
      <c r="F244" t="s">
        <v>76</v>
      </c>
      <c r="G244">
        <v>2</v>
      </c>
      <c r="H244">
        <v>880.02</v>
      </c>
      <c r="I244">
        <v>15</v>
      </c>
      <c r="J244" t="s">
        <v>29</v>
      </c>
    </row>
    <row r="245" spans="1:10" x14ac:dyDescent="0.25">
      <c r="A245" t="s">
        <v>501</v>
      </c>
      <c r="B245" t="s">
        <v>502</v>
      </c>
      <c r="C245" t="s">
        <v>503</v>
      </c>
      <c r="D245" t="s">
        <v>41</v>
      </c>
      <c r="E245" t="s">
        <v>62</v>
      </c>
      <c r="F245" t="s">
        <v>92</v>
      </c>
      <c r="G245">
        <v>6</v>
      </c>
      <c r="H245">
        <v>1016.26</v>
      </c>
      <c r="I245">
        <v>5</v>
      </c>
      <c r="J245" t="s">
        <v>108</v>
      </c>
    </row>
    <row r="246" spans="1:10" x14ac:dyDescent="0.25">
      <c r="A246" t="s">
        <v>266</v>
      </c>
      <c r="B246" t="s">
        <v>504</v>
      </c>
      <c r="C246" t="s">
        <v>289</v>
      </c>
      <c r="D246" t="s">
        <v>41</v>
      </c>
      <c r="E246" t="s">
        <v>14</v>
      </c>
      <c r="F246" t="s">
        <v>21</v>
      </c>
      <c r="G246">
        <v>5</v>
      </c>
      <c r="H246">
        <v>1168.8599999999999</v>
      </c>
      <c r="I246">
        <v>5</v>
      </c>
      <c r="J246" t="s">
        <v>29</v>
      </c>
    </row>
    <row r="247" spans="1:10" x14ac:dyDescent="0.25">
      <c r="A247" t="s">
        <v>505</v>
      </c>
      <c r="B247" t="s">
        <v>506</v>
      </c>
      <c r="C247" t="s">
        <v>222</v>
      </c>
      <c r="D247" t="s">
        <v>26</v>
      </c>
      <c r="E247" t="s">
        <v>27</v>
      </c>
      <c r="F247" t="s">
        <v>28</v>
      </c>
      <c r="G247">
        <v>9</v>
      </c>
      <c r="H247">
        <v>1124.96</v>
      </c>
      <c r="I247">
        <v>0</v>
      </c>
      <c r="J247" t="s">
        <v>22</v>
      </c>
    </row>
    <row r="248" spans="1:10" x14ac:dyDescent="0.25">
      <c r="A248" t="s">
        <v>507</v>
      </c>
      <c r="B248" t="s">
        <v>508</v>
      </c>
      <c r="C248" t="s">
        <v>97</v>
      </c>
      <c r="D248" t="s">
        <v>13</v>
      </c>
      <c r="E248" t="s">
        <v>62</v>
      </c>
      <c r="F248" t="s">
        <v>73</v>
      </c>
      <c r="G248">
        <v>9</v>
      </c>
      <c r="H248">
        <v>522.04</v>
      </c>
      <c r="I248">
        <v>10</v>
      </c>
      <c r="J248" t="s">
        <v>98</v>
      </c>
    </row>
    <row r="249" spans="1:10" x14ac:dyDescent="0.25">
      <c r="A249" t="s">
        <v>441</v>
      </c>
      <c r="B249" t="s">
        <v>509</v>
      </c>
      <c r="C249" t="s">
        <v>503</v>
      </c>
      <c r="D249" t="s">
        <v>20</v>
      </c>
      <c r="E249" t="s">
        <v>33</v>
      </c>
      <c r="F249" t="s">
        <v>82</v>
      </c>
      <c r="G249">
        <v>7</v>
      </c>
      <c r="H249">
        <v>290.63</v>
      </c>
      <c r="I249">
        <v>5</v>
      </c>
      <c r="J249" t="s">
        <v>47</v>
      </c>
    </row>
    <row r="250" spans="1:10" x14ac:dyDescent="0.25">
      <c r="A250" t="s">
        <v>30</v>
      </c>
      <c r="B250" t="s">
        <v>510</v>
      </c>
      <c r="C250" t="s">
        <v>104</v>
      </c>
      <c r="D250" t="s">
        <v>13</v>
      </c>
      <c r="E250" t="s">
        <v>14</v>
      </c>
      <c r="F250" t="s">
        <v>21</v>
      </c>
      <c r="G250">
        <v>3</v>
      </c>
      <c r="H250">
        <v>501.83</v>
      </c>
      <c r="I250">
        <v>0</v>
      </c>
      <c r="J250" t="s">
        <v>29</v>
      </c>
    </row>
    <row r="251" spans="1:10" x14ac:dyDescent="0.25">
      <c r="A251" t="s">
        <v>393</v>
      </c>
      <c r="B251" t="s">
        <v>511</v>
      </c>
      <c r="C251" t="s">
        <v>112</v>
      </c>
      <c r="D251" t="s">
        <v>13</v>
      </c>
      <c r="E251" t="s">
        <v>33</v>
      </c>
      <c r="F251" t="s">
        <v>82</v>
      </c>
      <c r="G251">
        <v>5</v>
      </c>
      <c r="H251">
        <v>144.13999999999999</v>
      </c>
      <c r="I251">
        <v>5</v>
      </c>
      <c r="J251" t="s">
        <v>47</v>
      </c>
    </row>
    <row r="252" spans="1:10" x14ac:dyDescent="0.25">
      <c r="A252" t="s">
        <v>512</v>
      </c>
      <c r="B252" t="s">
        <v>513</v>
      </c>
      <c r="C252" t="s">
        <v>175</v>
      </c>
      <c r="D252" t="s">
        <v>26</v>
      </c>
      <c r="E252" t="s">
        <v>27</v>
      </c>
      <c r="F252" t="s">
        <v>51</v>
      </c>
      <c r="G252">
        <v>1</v>
      </c>
      <c r="H252">
        <v>365.1</v>
      </c>
      <c r="I252">
        <v>15</v>
      </c>
      <c r="J252" t="s">
        <v>47</v>
      </c>
    </row>
    <row r="253" spans="1:10" x14ac:dyDescent="0.25">
      <c r="A253" t="s">
        <v>514</v>
      </c>
      <c r="B253" t="s">
        <v>515</v>
      </c>
      <c r="C253" t="s">
        <v>45</v>
      </c>
      <c r="D253" t="s">
        <v>20</v>
      </c>
      <c r="E253" t="s">
        <v>27</v>
      </c>
      <c r="F253" t="s">
        <v>42</v>
      </c>
      <c r="G253">
        <v>8</v>
      </c>
      <c r="H253">
        <v>954.44</v>
      </c>
      <c r="I253">
        <v>10</v>
      </c>
      <c r="J253" t="s">
        <v>29</v>
      </c>
    </row>
    <row r="254" spans="1:10" x14ac:dyDescent="0.25">
      <c r="A254" t="s">
        <v>113</v>
      </c>
      <c r="B254" t="s">
        <v>516</v>
      </c>
      <c r="C254" t="s">
        <v>222</v>
      </c>
      <c r="D254" t="s">
        <v>41</v>
      </c>
      <c r="E254" t="s">
        <v>14</v>
      </c>
      <c r="F254" t="s">
        <v>15</v>
      </c>
      <c r="G254">
        <v>7</v>
      </c>
      <c r="H254">
        <v>616.80999999999995</v>
      </c>
      <c r="I254">
        <v>0</v>
      </c>
      <c r="J254" t="s">
        <v>29</v>
      </c>
    </row>
    <row r="255" spans="1:10" x14ac:dyDescent="0.25">
      <c r="A255" t="s">
        <v>517</v>
      </c>
      <c r="B255" t="s">
        <v>518</v>
      </c>
      <c r="C255" t="s">
        <v>379</v>
      </c>
      <c r="D255" t="s">
        <v>13</v>
      </c>
      <c r="E255" t="s">
        <v>33</v>
      </c>
      <c r="F255" t="s">
        <v>46</v>
      </c>
      <c r="G255">
        <v>2</v>
      </c>
      <c r="H255">
        <v>623.16</v>
      </c>
      <c r="I255">
        <v>0</v>
      </c>
      <c r="J255" t="s">
        <v>47</v>
      </c>
    </row>
    <row r="256" spans="1:10" x14ac:dyDescent="0.25">
      <c r="A256" t="s">
        <v>519</v>
      </c>
      <c r="B256" t="s">
        <v>520</v>
      </c>
      <c r="C256" t="s">
        <v>32</v>
      </c>
      <c r="D256" t="s">
        <v>41</v>
      </c>
      <c r="E256" t="s">
        <v>33</v>
      </c>
      <c r="F256" t="s">
        <v>46</v>
      </c>
      <c r="G256">
        <v>8</v>
      </c>
      <c r="H256">
        <v>492.34</v>
      </c>
      <c r="I256">
        <v>15</v>
      </c>
      <c r="J256" t="s">
        <v>29</v>
      </c>
    </row>
    <row r="257" spans="1:10" x14ac:dyDescent="0.25">
      <c r="A257" t="s">
        <v>187</v>
      </c>
      <c r="B257" t="s">
        <v>521</v>
      </c>
      <c r="C257" t="s">
        <v>239</v>
      </c>
      <c r="D257" t="s">
        <v>26</v>
      </c>
      <c r="E257" t="s">
        <v>33</v>
      </c>
      <c r="F257" t="s">
        <v>34</v>
      </c>
      <c r="G257">
        <v>5</v>
      </c>
      <c r="H257">
        <v>154.47999999999999</v>
      </c>
      <c r="I257">
        <v>5</v>
      </c>
      <c r="J257" t="s">
        <v>108</v>
      </c>
    </row>
    <row r="258" spans="1:10" x14ac:dyDescent="0.25">
      <c r="A258" t="s">
        <v>391</v>
      </c>
      <c r="B258" t="s">
        <v>522</v>
      </c>
      <c r="C258" t="s">
        <v>150</v>
      </c>
      <c r="D258" t="s">
        <v>13</v>
      </c>
      <c r="E258" t="s">
        <v>14</v>
      </c>
      <c r="F258" t="s">
        <v>21</v>
      </c>
      <c r="G258">
        <v>5</v>
      </c>
      <c r="H258">
        <v>1036.03</v>
      </c>
      <c r="I258">
        <v>10</v>
      </c>
      <c r="J258" t="s">
        <v>22</v>
      </c>
    </row>
    <row r="259" spans="1:10" x14ac:dyDescent="0.25">
      <c r="A259" t="s">
        <v>242</v>
      </c>
      <c r="B259" t="s">
        <v>523</v>
      </c>
      <c r="C259" t="s">
        <v>117</v>
      </c>
      <c r="D259" t="s">
        <v>13</v>
      </c>
      <c r="E259" t="s">
        <v>14</v>
      </c>
      <c r="F259" t="s">
        <v>21</v>
      </c>
      <c r="G259">
        <v>2</v>
      </c>
      <c r="H259">
        <v>454.28</v>
      </c>
      <c r="I259">
        <v>15</v>
      </c>
      <c r="J259" t="s">
        <v>47</v>
      </c>
    </row>
    <row r="260" spans="1:10" x14ac:dyDescent="0.25">
      <c r="A260" t="s">
        <v>477</v>
      </c>
      <c r="B260" t="s">
        <v>524</v>
      </c>
      <c r="C260" t="s">
        <v>422</v>
      </c>
      <c r="D260" t="s">
        <v>13</v>
      </c>
      <c r="E260" t="s">
        <v>33</v>
      </c>
      <c r="F260" t="s">
        <v>34</v>
      </c>
      <c r="G260">
        <v>3</v>
      </c>
      <c r="H260">
        <v>927.65</v>
      </c>
      <c r="I260">
        <v>5</v>
      </c>
      <c r="J260" t="s">
        <v>47</v>
      </c>
    </row>
    <row r="261" spans="1:10" x14ac:dyDescent="0.25">
      <c r="A261" t="s">
        <v>178</v>
      </c>
      <c r="B261" t="s">
        <v>525</v>
      </c>
      <c r="C261" t="s">
        <v>75</v>
      </c>
      <c r="D261" t="s">
        <v>41</v>
      </c>
      <c r="E261" t="s">
        <v>14</v>
      </c>
      <c r="F261" t="s">
        <v>76</v>
      </c>
      <c r="G261">
        <v>1</v>
      </c>
      <c r="H261">
        <v>639.85</v>
      </c>
      <c r="I261">
        <v>0</v>
      </c>
      <c r="J261" t="s">
        <v>47</v>
      </c>
    </row>
    <row r="262" spans="1:10" x14ac:dyDescent="0.25">
      <c r="A262" t="s">
        <v>115</v>
      </c>
      <c r="B262" t="s">
        <v>526</v>
      </c>
      <c r="C262" t="s">
        <v>422</v>
      </c>
      <c r="D262" t="s">
        <v>26</v>
      </c>
      <c r="E262" t="s">
        <v>14</v>
      </c>
      <c r="F262" t="s">
        <v>15</v>
      </c>
      <c r="G262">
        <v>1</v>
      </c>
      <c r="H262">
        <v>886.85</v>
      </c>
      <c r="I262">
        <v>10</v>
      </c>
      <c r="J262" t="s">
        <v>29</v>
      </c>
    </row>
    <row r="263" spans="1:10" x14ac:dyDescent="0.25">
      <c r="A263" t="s">
        <v>527</v>
      </c>
      <c r="B263" t="s">
        <v>528</v>
      </c>
      <c r="C263" t="s">
        <v>216</v>
      </c>
      <c r="D263" t="s">
        <v>41</v>
      </c>
      <c r="E263" t="s">
        <v>62</v>
      </c>
      <c r="F263" t="s">
        <v>79</v>
      </c>
      <c r="G263">
        <v>4</v>
      </c>
      <c r="H263">
        <v>366.28</v>
      </c>
      <c r="I263">
        <v>10</v>
      </c>
      <c r="J263" t="s">
        <v>16</v>
      </c>
    </row>
    <row r="264" spans="1:10" x14ac:dyDescent="0.25">
      <c r="A264" t="s">
        <v>463</v>
      </c>
      <c r="B264" t="s">
        <v>529</v>
      </c>
      <c r="C264" t="s">
        <v>422</v>
      </c>
      <c r="D264" t="s">
        <v>26</v>
      </c>
      <c r="E264" t="s">
        <v>27</v>
      </c>
      <c r="F264" t="s">
        <v>51</v>
      </c>
      <c r="G264">
        <v>1</v>
      </c>
      <c r="H264">
        <v>94.27</v>
      </c>
      <c r="I264">
        <v>5</v>
      </c>
      <c r="J264" t="s">
        <v>47</v>
      </c>
    </row>
    <row r="265" spans="1:10" x14ac:dyDescent="0.25">
      <c r="A265" t="s">
        <v>530</v>
      </c>
      <c r="B265" t="s">
        <v>531</v>
      </c>
      <c r="C265" t="s">
        <v>239</v>
      </c>
      <c r="D265" t="s">
        <v>26</v>
      </c>
      <c r="E265" t="s">
        <v>27</v>
      </c>
      <c r="F265" t="s">
        <v>42</v>
      </c>
      <c r="G265">
        <v>7</v>
      </c>
      <c r="H265">
        <v>859.86</v>
      </c>
      <c r="I265">
        <v>15</v>
      </c>
      <c r="J265" t="s">
        <v>29</v>
      </c>
    </row>
    <row r="266" spans="1:10" x14ac:dyDescent="0.25">
      <c r="A266" t="s">
        <v>361</v>
      </c>
      <c r="B266" t="s">
        <v>532</v>
      </c>
      <c r="C266" t="s">
        <v>132</v>
      </c>
      <c r="D266" t="s">
        <v>20</v>
      </c>
      <c r="E266" t="s">
        <v>62</v>
      </c>
      <c r="F266" t="s">
        <v>63</v>
      </c>
      <c r="G266">
        <v>10</v>
      </c>
      <c r="H266">
        <v>301.04000000000002</v>
      </c>
      <c r="I266">
        <v>10</v>
      </c>
      <c r="J266" t="s">
        <v>98</v>
      </c>
    </row>
    <row r="267" spans="1:10" x14ac:dyDescent="0.25">
      <c r="A267" t="s">
        <v>153</v>
      </c>
      <c r="B267" t="s">
        <v>533</v>
      </c>
      <c r="C267" t="s">
        <v>135</v>
      </c>
      <c r="D267" t="s">
        <v>41</v>
      </c>
      <c r="E267" t="s">
        <v>33</v>
      </c>
      <c r="F267" t="s">
        <v>34</v>
      </c>
      <c r="G267">
        <v>5</v>
      </c>
      <c r="H267">
        <v>808.84</v>
      </c>
      <c r="I267">
        <v>15</v>
      </c>
      <c r="J267" t="s">
        <v>29</v>
      </c>
    </row>
    <row r="268" spans="1:10" x14ac:dyDescent="0.25">
      <c r="A268" t="s">
        <v>375</v>
      </c>
      <c r="B268" t="s">
        <v>534</v>
      </c>
      <c r="C268" t="s">
        <v>61</v>
      </c>
      <c r="D268" t="s">
        <v>13</v>
      </c>
      <c r="E268" t="s">
        <v>27</v>
      </c>
      <c r="F268" t="s">
        <v>28</v>
      </c>
      <c r="G268">
        <v>1</v>
      </c>
      <c r="H268">
        <v>498.47</v>
      </c>
      <c r="I268">
        <v>5</v>
      </c>
      <c r="J268" t="s">
        <v>98</v>
      </c>
    </row>
    <row r="269" spans="1:10" x14ac:dyDescent="0.25">
      <c r="A269" t="s">
        <v>321</v>
      </c>
      <c r="B269" t="s">
        <v>535</v>
      </c>
      <c r="C269" t="s">
        <v>19</v>
      </c>
      <c r="D269" t="s">
        <v>26</v>
      </c>
      <c r="E269" t="s">
        <v>14</v>
      </c>
      <c r="F269" t="s">
        <v>76</v>
      </c>
      <c r="G269">
        <v>6</v>
      </c>
      <c r="H269">
        <v>931.82</v>
      </c>
      <c r="I269">
        <v>5</v>
      </c>
      <c r="J269" t="s">
        <v>16</v>
      </c>
    </row>
    <row r="270" spans="1:10" x14ac:dyDescent="0.25">
      <c r="A270" t="s">
        <v>463</v>
      </c>
      <c r="B270" t="s">
        <v>536</v>
      </c>
      <c r="C270" t="s">
        <v>112</v>
      </c>
      <c r="D270" t="s">
        <v>26</v>
      </c>
      <c r="E270" t="s">
        <v>62</v>
      </c>
      <c r="F270" t="s">
        <v>92</v>
      </c>
      <c r="G270">
        <v>3</v>
      </c>
      <c r="H270">
        <v>438.17</v>
      </c>
      <c r="I270">
        <v>0</v>
      </c>
      <c r="J270" t="s">
        <v>16</v>
      </c>
    </row>
    <row r="271" spans="1:10" x14ac:dyDescent="0.25">
      <c r="A271" t="s">
        <v>240</v>
      </c>
      <c r="B271" t="s">
        <v>537</v>
      </c>
      <c r="C271" t="s">
        <v>314</v>
      </c>
      <c r="D271" t="s">
        <v>26</v>
      </c>
      <c r="E271" t="s">
        <v>33</v>
      </c>
      <c r="F271" t="s">
        <v>46</v>
      </c>
      <c r="G271">
        <v>9</v>
      </c>
      <c r="H271">
        <v>161.24</v>
      </c>
      <c r="I271">
        <v>10</v>
      </c>
      <c r="J271" t="s">
        <v>98</v>
      </c>
    </row>
    <row r="272" spans="1:10" x14ac:dyDescent="0.25">
      <c r="A272" t="s">
        <v>59</v>
      </c>
      <c r="B272" t="s">
        <v>538</v>
      </c>
      <c r="C272" t="s">
        <v>258</v>
      </c>
      <c r="D272" t="s">
        <v>26</v>
      </c>
      <c r="E272" t="s">
        <v>27</v>
      </c>
      <c r="F272" t="s">
        <v>51</v>
      </c>
      <c r="G272">
        <v>7</v>
      </c>
      <c r="H272">
        <v>84.12</v>
      </c>
      <c r="I272">
        <v>0</v>
      </c>
      <c r="J272" t="s">
        <v>98</v>
      </c>
    </row>
    <row r="273" spans="1:10" x14ac:dyDescent="0.25">
      <c r="A273" t="s">
        <v>354</v>
      </c>
      <c r="B273" t="s">
        <v>539</v>
      </c>
      <c r="C273" t="s">
        <v>314</v>
      </c>
      <c r="D273" t="s">
        <v>13</v>
      </c>
      <c r="E273" t="s">
        <v>14</v>
      </c>
      <c r="F273" t="s">
        <v>15</v>
      </c>
      <c r="G273">
        <v>10</v>
      </c>
      <c r="H273">
        <v>201.65</v>
      </c>
      <c r="I273">
        <v>0</v>
      </c>
      <c r="J273" t="s">
        <v>108</v>
      </c>
    </row>
    <row r="274" spans="1:10" x14ac:dyDescent="0.25">
      <c r="A274" t="s">
        <v>540</v>
      </c>
      <c r="B274" t="s">
        <v>541</v>
      </c>
      <c r="C274" t="s">
        <v>192</v>
      </c>
      <c r="D274" t="s">
        <v>41</v>
      </c>
      <c r="E274" t="s">
        <v>33</v>
      </c>
      <c r="F274" t="s">
        <v>34</v>
      </c>
      <c r="G274">
        <v>5</v>
      </c>
      <c r="H274">
        <v>291.52999999999997</v>
      </c>
      <c r="I274">
        <v>15</v>
      </c>
      <c r="J274" t="s">
        <v>29</v>
      </c>
    </row>
    <row r="275" spans="1:10" x14ac:dyDescent="0.25">
      <c r="A275" t="s">
        <v>224</v>
      </c>
      <c r="B275" t="s">
        <v>542</v>
      </c>
      <c r="C275" t="s">
        <v>251</v>
      </c>
      <c r="D275" t="s">
        <v>41</v>
      </c>
      <c r="E275" t="s">
        <v>14</v>
      </c>
      <c r="F275" t="s">
        <v>15</v>
      </c>
      <c r="G275">
        <v>1</v>
      </c>
      <c r="H275">
        <v>816.42</v>
      </c>
      <c r="I275">
        <v>5</v>
      </c>
      <c r="J275" t="s">
        <v>29</v>
      </c>
    </row>
    <row r="276" spans="1:10" x14ac:dyDescent="0.25">
      <c r="A276" t="s">
        <v>323</v>
      </c>
      <c r="B276" t="s">
        <v>543</v>
      </c>
      <c r="C276" t="s">
        <v>112</v>
      </c>
      <c r="D276" t="s">
        <v>13</v>
      </c>
      <c r="E276" t="s">
        <v>27</v>
      </c>
      <c r="F276" t="s">
        <v>42</v>
      </c>
      <c r="G276">
        <v>3</v>
      </c>
      <c r="H276">
        <v>288.08999999999997</v>
      </c>
      <c r="I276">
        <v>0</v>
      </c>
      <c r="J276" t="s">
        <v>16</v>
      </c>
    </row>
    <row r="277" spans="1:10" x14ac:dyDescent="0.25">
      <c r="A277" t="s">
        <v>237</v>
      </c>
      <c r="B277" t="s">
        <v>544</v>
      </c>
      <c r="C277" t="s">
        <v>25</v>
      </c>
      <c r="D277" t="s">
        <v>13</v>
      </c>
      <c r="E277" t="s">
        <v>14</v>
      </c>
      <c r="F277" t="s">
        <v>15</v>
      </c>
      <c r="G277">
        <v>7</v>
      </c>
      <c r="H277">
        <v>369.72</v>
      </c>
      <c r="I277">
        <v>5</v>
      </c>
      <c r="J277" t="s">
        <v>16</v>
      </c>
    </row>
    <row r="278" spans="1:10" x14ac:dyDescent="0.25">
      <c r="A278" t="s">
        <v>545</v>
      </c>
      <c r="B278" t="s">
        <v>546</v>
      </c>
      <c r="C278" t="s">
        <v>129</v>
      </c>
      <c r="D278" t="s">
        <v>20</v>
      </c>
      <c r="E278" t="s">
        <v>33</v>
      </c>
      <c r="F278" t="s">
        <v>34</v>
      </c>
      <c r="G278">
        <v>2</v>
      </c>
      <c r="H278">
        <v>1006.04</v>
      </c>
      <c r="I278">
        <v>10</v>
      </c>
      <c r="J278" t="s">
        <v>29</v>
      </c>
    </row>
    <row r="279" spans="1:10" x14ac:dyDescent="0.25">
      <c r="A279" t="s">
        <v>547</v>
      </c>
      <c r="B279" t="s">
        <v>548</v>
      </c>
      <c r="C279" t="s">
        <v>503</v>
      </c>
      <c r="D279" t="s">
        <v>26</v>
      </c>
      <c r="E279" t="s">
        <v>27</v>
      </c>
      <c r="F279" t="s">
        <v>51</v>
      </c>
      <c r="G279">
        <v>7</v>
      </c>
      <c r="H279">
        <v>626.6</v>
      </c>
      <c r="I279">
        <v>0</v>
      </c>
      <c r="J279" t="s">
        <v>16</v>
      </c>
    </row>
    <row r="280" spans="1:10" x14ac:dyDescent="0.25">
      <c r="A280" t="s">
        <v>549</v>
      </c>
      <c r="B280" t="s">
        <v>550</v>
      </c>
      <c r="C280" t="s">
        <v>25</v>
      </c>
      <c r="D280" t="s">
        <v>26</v>
      </c>
      <c r="E280" t="s">
        <v>27</v>
      </c>
      <c r="F280" t="s">
        <v>42</v>
      </c>
      <c r="G280">
        <v>5</v>
      </c>
      <c r="H280">
        <v>12.82</v>
      </c>
      <c r="I280">
        <v>0</v>
      </c>
      <c r="J280" t="s">
        <v>22</v>
      </c>
    </row>
    <row r="281" spans="1:10" x14ac:dyDescent="0.25">
      <c r="A281" t="s">
        <v>208</v>
      </c>
      <c r="B281" t="s">
        <v>551</v>
      </c>
      <c r="C281" t="s">
        <v>397</v>
      </c>
      <c r="D281" t="s">
        <v>26</v>
      </c>
      <c r="E281" t="s">
        <v>27</v>
      </c>
      <c r="F281" t="s">
        <v>28</v>
      </c>
      <c r="G281">
        <v>4</v>
      </c>
      <c r="H281">
        <v>535.25</v>
      </c>
      <c r="I281">
        <v>10</v>
      </c>
      <c r="J281" t="s">
        <v>29</v>
      </c>
    </row>
    <row r="282" spans="1:10" x14ac:dyDescent="0.25">
      <c r="A282" t="s">
        <v>552</v>
      </c>
      <c r="B282" t="s">
        <v>553</v>
      </c>
      <c r="C282" t="s">
        <v>256</v>
      </c>
      <c r="D282" t="s">
        <v>26</v>
      </c>
      <c r="E282" t="s">
        <v>33</v>
      </c>
      <c r="F282" t="s">
        <v>34</v>
      </c>
      <c r="G282">
        <v>5</v>
      </c>
      <c r="H282">
        <v>868.81</v>
      </c>
      <c r="I282">
        <v>0</v>
      </c>
      <c r="J282" t="s">
        <v>98</v>
      </c>
    </row>
    <row r="283" spans="1:10" x14ac:dyDescent="0.25">
      <c r="A283" t="s">
        <v>554</v>
      </c>
      <c r="B283" t="s">
        <v>555</v>
      </c>
      <c r="C283" t="s">
        <v>210</v>
      </c>
      <c r="D283" t="s">
        <v>41</v>
      </c>
      <c r="E283" t="s">
        <v>62</v>
      </c>
      <c r="F283" t="s">
        <v>79</v>
      </c>
      <c r="G283">
        <v>3</v>
      </c>
      <c r="H283">
        <v>342.28</v>
      </c>
      <c r="I283">
        <v>0</v>
      </c>
      <c r="J283" t="s">
        <v>108</v>
      </c>
    </row>
    <row r="284" spans="1:10" x14ac:dyDescent="0.25">
      <c r="A284" t="s">
        <v>358</v>
      </c>
      <c r="B284" t="s">
        <v>556</v>
      </c>
      <c r="C284" t="s">
        <v>213</v>
      </c>
      <c r="D284" t="s">
        <v>26</v>
      </c>
      <c r="E284" t="s">
        <v>33</v>
      </c>
      <c r="F284" t="s">
        <v>34</v>
      </c>
      <c r="G284">
        <v>8</v>
      </c>
      <c r="H284">
        <v>1126.96</v>
      </c>
      <c r="I284">
        <v>10</v>
      </c>
      <c r="J284" t="s">
        <v>108</v>
      </c>
    </row>
    <row r="285" spans="1:10" x14ac:dyDescent="0.25">
      <c r="A285" t="s">
        <v>330</v>
      </c>
      <c r="B285" t="s">
        <v>557</v>
      </c>
      <c r="C285" t="s">
        <v>201</v>
      </c>
      <c r="D285" t="s">
        <v>20</v>
      </c>
      <c r="E285" t="s">
        <v>33</v>
      </c>
      <c r="F285" t="s">
        <v>82</v>
      </c>
      <c r="G285">
        <v>2</v>
      </c>
      <c r="H285">
        <v>1014.36</v>
      </c>
      <c r="I285">
        <v>0</v>
      </c>
      <c r="J285" t="s">
        <v>108</v>
      </c>
    </row>
    <row r="286" spans="1:10" x14ac:dyDescent="0.25">
      <c r="A286" t="s">
        <v>17</v>
      </c>
      <c r="B286" t="s">
        <v>558</v>
      </c>
      <c r="C286" t="s">
        <v>72</v>
      </c>
      <c r="D286" t="s">
        <v>26</v>
      </c>
      <c r="E286" t="s">
        <v>14</v>
      </c>
      <c r="F286" t="s">
        <v>76</v>
      </c>
      <c r="G286">
        <v>8</v>
      </c>
      <c r="H286">
        <v>148.46</v>
      </c>
      <c r="I286">
        <v>15</v>
      </c>
      <c r="J286" t="s">
        <v>16</v>
      </c>
    </row>
    <row r="287" spans="1:10" x14ac:dyDescent="0.25">
      <c r="A287" t="s">
        <v>411</v>
      </c>
      <c r="B287" t="s">
        <v>559</v>
      </c>
      <c r="C287" t="s">
        <v>406</v>
      </c>
      <c r="D287" t="s">
        <v>26</v>
      </c>
      <c r="E287" t="s">
        <v>62</v>
      </c>
      <c r="F287" t="s">
        <v>73</v>
      </c>
      <c r="G287">
        <v>1</v>
      </c>
      <c r="H287">
        <v>500.98</v>
      </c>
      <c r="I287">
        <v>15</v>
      </c>
      <c r="J287" t="s">
        <v>98</v>
      </c>
    </row>
    <row r="288" spans="1:10" x14ac:dyDescent="0.25">
      <c r="A288" t="s">
        <v>305</v>
      </c>
      <c r="B288" t="s">
        <v>560</v>
      </c>
      <c r="C288" t="s">
        <v>422</v>
      </c>
      <c r="D288" t="s">
        <v>13</v>
      </c>
      <c r="E288" t="s">
        <v>33</v>
      </c>
      <c r="F288" t="s">
        <v>34</v>
      </c>
      <c r="G288">
        <v>4</v>
      </c>
      <c r="H288">
        <v>1057.52</v>
      </c>
      <c r="I288">
        <v>5</v>
      </c>
      <c r="J288" t="s">
        <v>22</v>
      </c>
    </row>
    <row r="289" spans="1:10" x14ac:dyDescent="0.25">
      <c r="A289" t="s">
        <v>89</v>
      </c>
      <c r="B289" t="s">
        <v>561</v>
      </c>
      <c r="C289" t="s">
        <v>370</v>
      </c>
      <c r="D289" t="s">
        <v>41</v>
      </c>
      <c r="E289" t="s">
        <v>27</v>
      </c>
      <c r="F289" t="s">
        <v>42</v>
      </c>
      <c r="G289">
        <v>2</v>
      </c>
      <c r="H289">
        <v>889.37</v>
      </c>
      <c r="I289">
        <v>0</v>
      </c>
      <c r="J289" t="s">
        <v>29</v>
      </c>
    </row>
    <row r="290" spans="1:10" x14ac:dyDescent="0.25">
      <c r="A290" t="s">
        <v>54</v>
      </c>
      <c r="B290" t="s">
        <v>562</v>
      </c>
      <c r="C290" t="s">
        <v>229</v>
      </c>
      <c r="D290" t="s">
        <v>20</v>
      </c>
      <c r="E290" t="s">
        <v>62</v>
      </c>
      <c r="F290" t="s">
        <v>79</v>
      </c>
      <c r="G290">
        <v>4</v>
      </c>
      <c r="H290">
        <v>984.2</v>
      </c>
      <c r="I290">
        <v>0</v>
      </c>
      <c r="J290" t="s">
        <v>47</v>
      </c>
    </row>
    <row r="291" spans="1:10" x14ac:dyDescent="0.25">
      <c r="A291" t="s">
        <v>219</v>
      </c>
      <c r="B291" t="s">
        <v>563</v>
      </c>
      <c r="C291" t="s">
        <v>91</v>
      </c>
      <c r="D291" t="s">
        <v>41</v>
      </c>
      <c r="E291" t="s">
        <v>14</v>
      </c>
      <c r="F291" t="s">
        <v>76</v>
      </c>
      <c r="G291">
        <v>4</v>
      </c>
      <c r="H291">
        <v>462.54</v>
      </c>
      <c r="I291">
        <v>0</v>
      </c>
      <c r="J291" t="s">
        <v>98</v>
      </c>
    </row>
    <row r="292" spans="1:10" x14ac:dyDescent="0.25">
      <c r="A292" t="s">
        <v>273</v>
      </c>
      <c r="B292" t="s">
        <v>564</v>
      </c>
      <c r="C292" t="s">
        <v>346</v>
      </c>
      <c r="D292" t="s">
        <v>13</v>
      </c>
      <c r="E292" t="s">
        <v>27</v>
      </c>
      <c r="F292" t="s">
        <v>42</v>
      </c>
      <c r="G292">
        <v>3</v>
      </c>
      <c r="H292">
        <v>1080.1500000000001</v>
      </c>
      <c r="I292">
        <v>0</v>
      </c>
      <c r="J292" t="s">
        <v>98</v>
      </c>
    </row>
    <row r="293" spans="1:10" x14ac:dyDescent="0.25">
      <c r="A293" t="s">
        <v>565</v>
      </c>
      <c r="B293" t="s">
        <v>566</v>
      </c>
      <c r="C293" t="s">
        <v>254</v>
      </c>
      <c r="D293" t="s">
        <v>13</v>
      </c>
      <c r="E293" t="s">
        <v>14</v>
      </c>
      <c r="F293" t="s">
        <v>76</v>
      </c>
      <c r="G293">
        <v>2</v>
      </c>
      <c r="H293">
        <v>237.73</v>
      </c>
      <c r="I293">
        <v>5</v>
      </c>
      <c r="J293" t="s">
        <v>108</v>
      </c>
    </row>
    <row r="294" spans="1:10" x14ac:dyDescent="0.25">
      <c r="A294" t="s">
        <v>43</v>
      </c>
      <c r="B294" t="s">
        <v>567</v>
      </c>
      <c r="C294" t="s">
        <v>307</v>
      </c>
      <c r="D294" t="s">
        <v>41</v>
      </c>
      <c r="E294" t="s">
        <v>33</v>
      </c>
      <c r="F294" t="s">
        <v>82</v>
      </c>
      <c r="G294">
        <v>3</v>
      </c>
      <c r="H294">
        <v>1199.42</v>
      </c>
      <c r="I294">
        <v>10</v>
      </c>
      <c r="J294" t="s">
        <v>22</v>
      </c>
    </row>
    <row r="295" spans="1:10" x14ac:dyDescent="0.25">
      <c r="A295" t="s">
        <v>38</v>
      </c>
      <c r="B295" t="s">
        <v>568</v>
      </c>
      <c r="C295" t="s">
        <v>145</v>
      </c>
      <c r="D295" t="s">
        <v>20</v>
      </c>
      <c r="E295" t="s">
        <v>62</v>
      </c>
      <c r="F295" t="s">
        <v>92</v>
      </c>
      <c r="G295">
        <v>6</v>
      </c>
      <c r="H295">
        <v>681.46</v>
      </c>
      <c r="I295">
        <v>0</v>
      </c>
      <c r="J295" t="s">
        <v>16</v>
      </c>
    </row>
    <row r="296" spans="1:10" x14ac:dyDescent="0.25">
      <c r="A296" t="s">
        <v>86</v>
      </c>
      <c r="B296" t="s">
        <v>569</v>
      </c>
      <c r="C296" t="s">
        <v>333</v>
      </c>
      <c r="D296" t="s">
        <v>13</v>
      </c>
      <c r="E296" t="s">
        <v>62</v>
      </c>
      <c r="F296" t="s">
        <v>92</v>
      </c>
      <c r="G296">
        <v>6</v>
      </c>
      <c r="H296">
        <v>614.08000000000004</v>
      </c>
      <c r="I296">
        <v>15</v>
      </c>
      <c r="J296" t="s">
        <v>98</v>
      </c>
    </row>
    <row r="297" spans="1:10" x14ac:dyDescent="0.25">
      <c r="A297" t="s">
        <v>214</v>
      </c>
      <c r="B297" t="s">
        <v>570</v>
      </c>
      <c r="C297" t="s">
        <v>428</v>
      </c>
      <c r="D297" t="s">
        <v>41</v>
      </c>
      <c r="E297" t="s">
        <v>62</v>
      </c>
      <c r="F297" t="s">
        <v>63</v>
      </c>
      <c r="G297">
        <v>1</v>
      </c>
      <c r="H297">
        <v>797.54</v>
      </c>
      <c r="I297">
        <v>15</v>
      </c>
      <c r="J297" t="s">
        <v>29</v>
      </c>
    </row>
    <row r="298" spans="1:10" x14ac:dyDescent="0.25">
      <c r="A298" t="s">
        <v>56</v>
      </c>
      <c r="B298" t="s">
        <v>571</v>
      </c>
      <c r="C298" t="s">
        <v>572</v>
      </c>
      <c r="D298" t="s">
        <v>26</v>
      </c>
      <c r="E298" t="s">
        <v>27</v>
      </c>
      <c r="F298" t="s">
        <v>42</v>
      </c>
      <c r="G298">
        <v>9</v>
      </c>
      <c r="H298">
        <v>457.15</v>
      </c>
      <c r="I298">
        <v>0</v>
      </c>
      <c r="J298" t="s">
        <v>47</v>
      </c>
    </row>
    <row r="299" spans="1:10" x14ac:dyDescent="0.25">
      <c r="A299" t="s">
        <v>249</v>
      </c>
      <c r="B299" t="s">
        <v>573</v>
      </c>
      <c r="C299" t="s">
        <v>158</v>
      </c>
      <c r="D299" t="s">
        <v>20</v>
      </c>
      <c r="E299" t="s">
        <v>33</v>
      </c>
      <c r="F299" t="s">
        <v>34</v>
      </c>
      <c r="G299">
        <v>3</v>
      </c>
      <c r="H299">
        <v>321.02</v>
      </c>
      <c r="I299">
        <v>15</v>
      </c>
      <c r="J299" t="s">
        <v>108</v>
      </c>
    </row>
    <row r="300" spans="1:10" x14ac:dyDescent="0.25">
      <c r="A300" t="s">
        <v>319</v>
      </c>
      <c r="B300" t="s">
        <v>574</v>
      </c>
      <c r="C300" t="s">
        <v>32</v>
      </c>
      <c r="D300" t="s">
        <v>13</v>
      </c>
      <c r="E300" t="s">
        <v>14</v>
      </c>
      <c r="F300" t="s">
        <v>21</v>
      </c>
      <c r="G300">
        <v>6</v>
      </c>
      <c r="H300">
        <v>435.39</v>
      </c>
      <c r="I300">
        <v>5</v>
      </c>
      <c r="J300" t="s">
        <v>29</v>
      </c>
    </row>
    <row r="301" spans="1:10" x14ac:dyDescent="0.25">
      <c r="A301" t="s">
        <v>575</v>
      </c>
      <c r="B301" t="s">
        <v>576</v>
      </c>
      <c r="C301" t="s">
        <v>75</v>
      </c>
      <c r="D301" t="s">
        <v>13</v>
      </c>
      <c r="E301" t="s">
        <v>27</v>
      </c>
      <c r="F301" t="s">
        <v>42</v>
      </c>
      <c r="G301">
        <v>6</v>
      </c>
      <c r="H301">
        <v>409.85</v>
      </c>
      <c r="I301">
        <v>0</v>
      </c>
      <c r="J301" t="s">
        <v>47</v>
      </c>
    </row>
    <row r="302" spans="1:10" x14ac:dyDescent="0.25">
      <c r="A302" t="s">
        <v>372</v>
      </c>
      <c r="B302" t="s">
        <v>577</v>
      </c>
      <c r="C302" t="s">
        <v>476</v>
      </c>
      <c r="D302" t="s">
        <v>13</v>
      </c>
      <c r="E302" t="s">
        <v>33</v>
      </c>
      <c r="F302" t="s">
        <v>46</v>
      </c>
      <c r="G302">
        <v>8</v>
      </c>
      <c r="H302">
        <v>1177.18</v>
      </c>
      <c r="I302">
        <v>0</v>
      </c>
      <c r="J302" t="s">
        <v>16</v>
      </c>
    </row>
    <row r="303" spans="1:10" x14ac:dyDescent="0.25">
      <c r="A303" t="s">
        <v>30</v>
      </c>
      <c r="B303" t="s">
        <v>578</v>
      </c>
      <c r="C303" t="s">
        <v>503</v>
      </c>
      <c r="D303" t="s">
        <v>26</v>
      </c>
      <c r="E303" t="s">
        <v>62</v>
      </c>
      <c r="F303" t="s">
        <v>79</v>
      </c>
      <c r="G303">
        <v>2</v>
      </c>
      <c r="H303">
        <v>685.19</v>
      </c>
      <c r="I303">
        <v>0</v>
      </c>
      <c r="J303" t="s">
        <v>29</v>
      </c>
    </row>
    <row r="304" spans="1:10" x14ac:dyDescent="0.25">
      <c r="A304" t="s">
        <v>182</v>
      </c>
      <c r="B304" t="s">
        <v>579</v>
      </c>
      <c r="C304" t="s">
        <v>397</v>
      </c>
      <c r="D304" t="s">
        <v>13</v>
      </c>
      <c r="E304" t="s">
        <v>62</v>
      </c>
      <c r="F304" t="s">
        <v>63</v>
      </c>
      <c r="G304">
        <v>10</v>
      </c>
      <c r="H304">
        <v>345.55</v>
      </c>
      <c r="I304">
        <v>10</v>
      </c>
      <c r="J304" t="s">
        <v>16</v>
      </c>
    </row>
    <row r="305" spans="1:10" x14ac:dyDescent="0.25">
      <c r="A305" t="s">
        <v>259</v>
      </c>
      <c r="B305" t="s">
        <v>580</v>
      </c>
      <c r="C305" t="s">
        <v>239</v>
      </c>
      <c r="D305" t="s">
        <v>26</v>
      </c>
      <c r="E305" t="s">
        <v>14</v>
      </c>
      <c r="F305" t="s">
        <v>15</v>
      </c>
      <c r="G305">
        <v>9</v>
      </c>
      <c r="H305">
        <v>654.29</v>
      </c>
      <c r="I305">
        <v>5</v>
      </c>
      <c r="J305" t="s">
        <v>22</v>
      </c>
    </row>
    <row r="306" spans="1:10" x14ac:dyDescent="0.25">
      <c r="A306" t="s">
        <v>143</v>
      </c>
      <c r="B306" t="s">
        <v>581</v>
      </c>
      <c r="C306" t="s">
        <v>186</v>
      </c>
      <c r="D306" t="s">
        <v>20</v>
      </c>
      <c r="E306" t="s">
        <v>62</v>
      </c>
      <c r="F306" t="s">
        <v>79</v>
      </c>
      <c r="G306">
        <v>2</v>
      </c>
      <c r="H306">
        <v>569.27</v>
      </c>
      <c r="I306">
        <v>15</v>
      </c>
      <c r="J306" t="s">
        <v>29</v>
      </c>
    </row>
    <row r="307" spans="1:10" x14ac:dyDescent="0.25">
      <c r="A307" t="s">
        <v>582</v>
      </c>
      <c r="B307" t="s">
        <v>583</v>
      </c>
      <c r="C307" t="s">
        <v>72</v>
      </c>
      <c r="D307" t="s">
        <v>41</v>
      </c>
      <c r="E307" t="s">
        <v>33</v>
      </c>
      <c r="F307" t="s">
        <v>46</v>
      </c>
      <c r="G307">
        <v>4</v>
      </c>
      <c r="H307">
        <v>741.89</v>
      </c>
      <c r="I307">
        <v>5</v>
      </c>
      <c r="J307" t="s">
        <v>108</v>
      </c>
    </row>
    <row r="308" spans="1:10" x14ac:dyDescent="0.25">
      <c r="A308" t="s">
        <v>584</v>
      </c>
      <c r="B308" t="s">
        <v>585</v>
      </c>
      <c r="C308" t="s">
        <v>124</v>
      </c>
      <c r="D308" t="s">
        <v>26</v>
      </c>
      <c r="E308" t="s">
        <v>27</v>
      </c>
      <c r="F308" t="s">
        <v>28</v>
      </c>
      <c r="G308">
        <v>10</v>
      </c>
      <c r="H308">
        <v>136.41999999999999</v>
      </c>
      <c r="I308">
        <v>10</v>
      </c>
      <c r="J308" t="s">
        <v>16</v>
      </c>
    </row>
    <row r="309" spans="1:10" x14ac:dyDescent="0.25">
      <c r="A309" t="s">
        <v>99</v>
      </c>
      <c r="B309" t="s">
        <v>586</v>
      </c>
      <c r="C309" t="s">
        <v>476</v>
      </c>
      <c r="D309" t="s">
        <v>13</v>
      </c>
      <c r="E309" t="s">
        <v>14</v>
      </c>
      <c r="F309" t="s">
        <v>15</v>
      </c>
      <c r="G309">
        <v>7</v>
      </c>
      <c r="H309">
        <v>1156.69</v>
      </c>
      <c r="I309">
        <v>0</v>
      </c>
      <c r="J309" t="s">
        <v>16</v>
      </c>
    </row>
    <row r="310" spans="1:10" x14ac:dyDescent="0.25">
      <c r="A310" t="s">
        <v>140</v>
      </c>
      <c r="B310" t="s">
        <v>587</v>
      </c>
      <c r="C310" t="s">
        <v>132</v>
      </c>
      <c r="D310" t="s">
        <v>41</v>
      </c>
      <c r="E310" t="s">
        <v>14</v>
      </c>
      <c r="F310" t="s">
        <v>21</v>
      </c>
      <c r="G310">
        <v>3</v>
      </c>
      <c r="H310">
        <v>650.9</v>
      </c>
      <c r="I310">
        <v>10</v>
      </c>
      <c r="J310" t="s">
        <v>22</v>
      </c>
    </row>
    <row r="311" spans="1:10" x14ac:dyDescent="0.25">
      <c r="A311" t="s">
        <v>99</v>
      </c>
      <c r="B311" t="s">
        <v>588</v>
      </c>
      <c r="C311" t="s">
        <v>254</v>
      </c>
      <c r="D311" t="s">
        <v>26</v>
      </c>
      <c r="E311" t="s">
        <v>33</v>
      </c>
      <c r="F311" t="s">
        <v>82</v>
      </c>
      <c r="G311">
        <v>5</v>
      </c>
      <c r="H311">
        <v>449.86</v>
      </c>
      <c r="I311">
        <v>0</v>
      </c>
      <c r="J311" t="s">
        <v>29</v>
      </c>
    </row>
    <row r="312" spans="1:10" x14ac:dyDescent="0.25">
      <c r="A312" t="s">
        <v>297</v>
      </c>
      <c r="B312" t="s">
        <v>589</v>
      </c>
      <c r="C312" t="s">
        <v>275</v>
      </c>
      <c r="D312" t="s">
        <v>20</v>
      </c>
      <c r="E312" t="s">
        <v>14</v>
      </c>
      <c r="F312" t="s">
        <v>15</v>
      </c>
      <c r="G312">
        <v>10</v>
      </c>
      <c r="H312">
        <v>419.22</v>
      </c>
      <c r="I312">
        <v>0</v>
      </c>
      <c r="J312" t="s">
        <v>16</v>
      </c>
    </row>
    <row r="313" spans="1:10" x14ac:dyDescent="0.25">
      <c r="A313" t="s">
        <v>582</v>
      </c>
      <c r="B313" t="s">
        <v>590</v>
      </c>
      <c r="C313" t="s">
        <v>61</v>
      </c>
      <c r="D313" t="s">
        <v>13</v>
      </c>
      <c r="E313" t="s">
        <v>33</v>
      </c>
      <c r="F313" t="s">
        <v>46</v>
      </c>
      <c r="G313">
        <v>3</v>
      </c>
      <c r="H313">
        <v>575.66999999999996</v>
      </c>
      <c r="I313">
        <v>5</v>
      </c>
      <c r="J313" t="s">
        <v>16</v>
      </c>
    </row>
    <row r="314" spans="1:10" x14ac:dyDescent="0.25">
      <c r="A314" t="s">
        <v>575</v>
      </c>
      <c r="B314" t="s">
        <v>591</v>
      </c>
      <c r="C314" t="s">
        <v>101</v>
      </c>
      <c r="D314" t="s">
        <v>41</v>
      </c>
      <c r="E314" t="s">
        <v>27</v>
      </c>
      <c r="F314" t="s">
        <v>28</v>
      </c>
      <c r="G314">
        <v>3</v>
      </c>
      <c r="H314">
        <v>882.39</v>
      </c>
      <c r="I314">
        <v>10</v>
      </c>
      <c r="J314" t="s">
        <v>29</v>
      </c>
    </row>
    <row r="315" spans="1:10" x14ac:dyDescent="0.25">
      <c r="A315" t="s">
        <v>383</v>
      </c>
      <c r="B315" t="s">
        <v>592</v>
      </c>
      <c r="C315" t="s">
        <v>251</v>
      </c>
      <c r="D315" t="s">
        <v>13</v>
      </c>
      <c r="E315" t="s">
        <v>62</v>
      </c>
      <c r="F315" t="s">
        <v>79</v>
      </c>
      <c r="G315">
        <v>4</v>
      </c>
      <c r="H315">
        <v>308.89</v>
      </c>
      <c r="I315">
        <v>5</v>
      </c>
      <c r="J315" t="s">
        <v>29</v>
      </c>
    </row>
    <row r="316" spans="1:10" x14ac:dyDescent="0.25">
      <c r="A316" t="s">
        <v>316</v>
      </c>
      <c r="B316" t="s">
        <v>593</v>
      </c>
      <c r="C316" t="s">
        <v>314</v>
      </c>
      <c r="D316" t="s">
        <v>26</v>
      </c>
      <c r="E316" t="s">
        <v>33</v>
      </c>
      <c r="F316" t="s">
        <v>82</v>
      </c>
      <c r="G316">
        <v>3</v>
      </c>
      <c r="H316">
        <v>936.51</v>
      </c>
      <c r="I316">
        <v>5</v>
      </c>
      <c r="J316" t="s">
        <v>108</v>
      </c>
    </row>
    <row r="317" spans="1:10" x14ac:dyDescent="0.25">
      <c r="A317" t="s">
        <v>594</v>
      </c>
      <c r="B317" t="s">
        <v>595</v>
      </c>
      <c r="C317" t="s">
        <v>69</v>
      </c>
      <c r="D317" t="s">
        <v>13</v>
      </c>
      <c r="E317" t="s">
        <v>27</v>
      </c>
      <c r="F317" t="s">
        <v>51</v>
      </c>
      <c r="G317">
        <v>7</v>
      </c>
      <c r="H317">
        <v>86.83</v>
      </c>
      <c r="I317">
        <v>15</v>
      </c>
      <c r="J317" t="s">
        <v>22</v>
      </c>
    </row>
    <row r="318" spans="1:10" x14ac:dyDescent="0.25">
      <c r="A318" t="s">
        <v>140</v>
      </c>
      <c r="B318" t="s">
        <v>596</v>
      </c>
      <c r="C318" t="s">
        <v>422</v>
      </c>
      <c r="D318" t="s">
        <v>26</v>
      </c>
      <c r="E318" t="s">
        <v>33</v>
      </c>
      <c r="F318" t="s">
        <v>34</v>
      </c>
      <c r="G318">
        <v>9</v>
      </c>
      <c r="H318">
        <v>547.99</v>
      </c>
      <c r="I318">
        <v>10</v>
      </c>
      <c r="J318" t="s">
        <v>29</v>
      </c>
    </row>
    <row r="319" spans="1:10" x14ac:dyDescent="0.25">
      <c r="A319" t="s">
        <v>95</v>
      </c>
      <c r="B319" t="s">
        <v>597</v>
      </c>
      <c r="C319" t="s">
        <v>406</v>
      </c>
      <c r="D319" t="s">
        <v>20</v>
      </c>
      <c r="E319" t="s">
        <v>33</v>
      </c>
      <c r="F319" t="s">
        <v>46</v>
      </c>
      <c r="G319">
        <v>8</v>
      </c>
      <c r="H319">
        <v>1079.3599999999999</v>
      </c>
      <c r="I319">
        <v>5</v>
      </c>
      <c r="J319" t="s">
        <v>98</v>
      </c>
    </row>
    <row r="320" spans="1:10" x14ac:dyDescent="0.25">
      <c r="A320" t="s">
        <v>598</v>
      </c>
      <c r="B320" t="s">
        <v>599</v>
      </c>
      <c r="C320" t="s">
        <v>19</v>
      </c>
      <c r="D320" t="s">
        <v>20</v>
      </c>
      <c r="E320" t="s">
        <v>62</v>
      </c>
      <c r="F320" t="s">
        <v>73</v>
      </c>
      <c r="G320">
        <v>8</v>
      </c>
      <c r="H320">
        <v>152.5</v>
      </c>
      <c r="I320">
        <v>0</v>
      </c>
      <c r="J320" t="s">
        <v>16</v>
      </c>
    </row>
    <row r="321" spans="1:10" x14ac:dyDescent="0.25">
      <c r="A321" t="s">
        <v>219</v>
      </c>
      <c r="B321" t="s">
        <v>600</v>
      </c>
      <c r="C321" t="s">
        <v>186</v>
      </c>
      <c r="D321" t="s">
        <v>26</v>
      </c>
      <c r="E321" t="s">
        <v>62</v>
      </c>
      <c r="F321" t="s">
        <v>63</v>
      </c>
      <c r="G321">
        <v>2</v>
      </c>
      <c r="H321">
        <v>36.79</v>
      </c>
      <c r="I321">
        <v>10</v>
      </c>
      <c r="J321" t="s">
        <v>16</v>
      </c>
    </row>
    <row r="322" spans="1:10" x14ac:dyDescent="0.25">
      <c r="A322" t="s">
        <v>565</v>
      </c>
      <c r="B322" t="s">
        <v>601</v>
      </c>
      <c r="C322" t="s">
        <v>422</v>
      </c>
      <c r="D322" t="s">
        <v>26</v>
      </c>
      <c r="E322" t="s">
        <v>33</v>
      </c>
      <c r="F322" t="s">
        <v>82</v>
      </c>
      <c r="G322">
        <v>4</v>
      </c>
      <c r="H322">
        <v>114.72</v>
      </c>
      <c r="I322">
        <v>15</v>
      </c>
      <c r="J322" t="s">
        <v>98</v>
      </c>
    </row>
    <row r="323" spans="1:10" x14ac:dyDescent="0.25">
      <c r="A323" t="s">
        <v>240</v>
      </c>
      <c r="B323" t="s">
        <v>602</v>
      </c>
      <c r="C323" t="s">
        <v>170</v>
      </c>
      <c r="D323" t="s">
        <v>26</v>
      </c>
      <c r="E323" t="s">
        <v>33</v>
      </c>
      <c r="F323" t="s">
        <v>34</v>
      </c>
      <c r="G323">
        <v>3</v>
      </c>
      <c r="H323">
        <v>610.01</v>
      </c>
      <c r="I323">
        <v>5</v>
      </c>
      <c r="J323" t="s">
        <v>108</v>
      </c>
    </row>
    <row r="324" spans="1:10" x14ac:dyDescent="0.25">
      <c r="A324" t="s">
        <v>187</v>
      </c>
      <c r="B324" t="s">
        <v>603</v>
      </c>
      <c r="C324" t="s">
        <v>265</v>
      </c>
      <c r="D324" t="s">
        <v>41</v>
      </c>
      <c r="E324" t="s">
        <v>62</v>
      </c>
      <c r="F324" t="s">
        <v>73</v>
      </c>
      <c r="G324">
        <v>5</v>
      </c>
      <c r="H324">
        <v>381.65</v>
      </c>
      <c r="I324">
        <v>15</v>
      </c>
      <c r="J324" t="s">
        <v>16</v>
      </c>
    </row>
    <row r="325" spans="1:10" x14ac:dyDescent="0.25">
      <c r="A325" t="s">
        <v>604</v>
      </c>
      <c r="B325" t="s">
        <v>605</v>
      </c>
      <c r="C325" t="s">
        <v>88</v>
      </c>
      <c r="D325" t="s">
        <v>13</v>
      </c>
      <c r="E325" t="s">
        <v>27</v>
      </c>
      <c r="F325" t="s">
        <v>51</v>
      </c>
      <c r="G325">
        <v>9</v>
      </c>
      <c r="H325">
        <v>961.56</v>
      </c>
      <c r="I325">
        <v>15</v>
      </c>
      <c r="J325" t="s">
        <v>22</v>
      </c>
    </row>
    <row r="326" spans="1:10" x14ac:dyDescent="0.25">
      <c r="A326" t="s">
        <v>330</v>
      </c>
      <c r="B326" t="s">
        <v>606</v>
      </c>
      <c r="C326" t="s">
        <v>275</v>
      </c>
      <c r="D326" t="s">
        <v>26</v>
      </c>
      <c r="E326" t="s">
        <v>33</v>
      </c>
      <c r="F326" t="s">
        <v>82</v>
      </c>
      <c r="G326">
        <v>6</v>
      </c>
      <c r="H326">
        <v>406.69</v>
      </c>
      <c r="I326">
        <v>10</v>
      </c>
      <c r="J326" t="s">
        <v>22</v>
      </c>
    </row>
    <row r="327" spans="1:10" x14ac:dyDescent="0.25">
      <c r="A327" t="s">
        <v>607</v>
      </c>
      <c r="B327" t="s">
        <v>608</v>
      </c>
      <c r="C327" t="s">
        <v>422</v>
      </c>
      <c r="D327" t="s">
        <v>13</v>
      </c>
      <c r="E327" t="s">
        <v>33</v>
      </c>
      <c r="F327" t="s">
        <v>46</v>
      </c>
      <c r="G327">
        <v>8</v>
      </c>
      <c r="H327">
        <v>623.41</v>
      </c>
      <c r="I327">
        <v>0</v>
      </c>
      <c r="J327" t="s">
        <v>108</v>
      </c>
    </row>
    <row r="328" spans="1:10" x14ac:dyDescent="0.25">
      <c r="A328" t="s">
        <v>120</v>
      </c>
      <c r="B328" t="s">
        <v>609</v>
      </c>
      <c r="C328" t="s">
        <v>279</v>
      </c>
      <c r="D328" t="s">
        <v>13</v>
      </c>
      <c r="E328" t="s">
        <v>14</v>
      </c>
      <c r="F328" t="s">
        <v>76</v>
      </c>
      <c r="G328">
        <v>8</v>
      </c>
      <c r="H328">
        <v>170.87</v>
      </c>
      <c r="I328">
        <v>5</v>
      </c>
      <c r="J328" t="s">
        <v>98</v>
      </c>
    </row>
    <row r="329" spans="1:10" x14ac:dyDescent="0.25">
      <c r="A329" t="s">
        <v>417</v>
      </c>
      <c r="B329" t="s">
        <v>610</v>
      </c>
      <c r="C329" t="s">
        <v>213</v>
      </c>
      <c r="D329" t="s">
        <v>13</v>
      </c>
      <c r="E329" t="s">
        <v>62</v>
      </c>
      <c r="F329" t="s">
        <v>63</v>
      </c>
      <c r="G329">
        <v>6</v>
      </c>
      <c r="H329">
        <v>315.61</v>
      </c>
      <c r="I329">
        <v>15</v>
      </c>
      <c r="J329" t="s">
        <v>47</v>
      </c>
    </row>
    <row r="330" spans="1:10" x14ac:dyDescent="0.25">
      <c r="A330" t="s">
        <v>59</v>
      </c>
      <c r="B330" t="s">
        <v>611</v>
      </c>
      <c r="C330" t="s">
        <v>256</v>
      </c>
      <c r="D330" t="s">
        <v>20</v>
      </c>
      <c r="E330" t="s">
        <v>27</v>
      </c>
      <c r="F330" t="s">
        <v>42</v>
      </c>
      <c r="G330">
        <v>1</v>
      </c>
      <c r="H330">
        <v>698.53</v>
      </c>
      <c r="I330">
        <v>5</v>
      </c>
      <c r="J330" t="s">
        <v>108</v>
      </c>
    </row>
    <row r="331" spans="1:10" x14ac:dyDescent="0.25">
      <c r="A331" t="s">
        <v>375</v>
      </c>
      <c r="B331" t="s">
        <v>612</v>
      </c>
      <c r="C331" t="s">
        <v>503</v>
      </c>
      <c r="D331" t="s">
        <v>26</v>
      </c>
      <c r="E331" t="s">
        <v>27</v>
      </c>
      <c r="F331" t="s">
        <v>51</v>
      </c>
      <c r="G331">
        <v>8</v>
      </c>
      <c r="H331">
        <v>144.56</v>
      </c>
      <c r="I331">
        <v>0</v>
      </c>
      <c r="J331" t="s">
        <v>22</v>
      </c>
    </row>
    <row r="332" spans="1:10" x14ac:dyDescent="0.25">
      <c r="A332" t="s">
        <v>190</v>
      </c>
      <c r="B332" t="s">
        <v>613</v>
      </c>
      <c r="C332" t="s">
        <v>66</v>
      </c>
      <c r="D332" t="s">
        <v>26</v>
      </c>
      <c r="E332" t="s">
        <v>27</v>
      </c>
      <c r="F332" t="s">
        <v>28</v>
      </c>
      <c r="G332">
        <v>4</v>
      </c>
      <c r="H332">
        <v>709.88</v>
      </c>
      <c r="I332">
        <v>5</v>
      </c>
      <c r="J332" t="s">
        <v>16</v>
      </c>
    </row>
    <row r="333" spans="1:10" x14ac:dyDescent="0.25">
      <c r="A333" t="s">
        <v>59</v>
      </c>
      <c r="B333" t="s">
        <v>614</v>
      </c>
      <c r="C333" t="s">
        <v>251</v>
      </c>
      <c r="D333" t="s">
        <v>13</v>
      </c>
      <c r="E333" t="s">
        <v>27</v>
      </c>
      <c r="F333" t="s">
        <v>42</v>
      </c>
      <c r="G333">
        <v>9</v>
      </c>
      <c r="H333">
        <v>437.08</v>
      </c>
      <c r="I333">
        <v>10</v>
      </c>
      <c r="J333" t="s">
        <v>29</v>
      </c>
    </row>
    <row r="334" spans="1:10" x14ac:dyDescent="0.25">
      <c r="A334" t="s">
        <v>530</v>
      </c>
      <c r="B334" t="s">
        <v>615</v>
      </c>
      <c r="C334" t="s">
        <v>265</v>
      </c>
      <c r="D334" t="s">
        <v>41</v>
      </c>
      <c r="E334" t="s">
        <v>27</v>
      </c>
      <c r="F334" t="s">
        <v>28</v>
      </c>
      <c r="G334">
        <v>6</v>
      </c>
      <c r="H334">
        <v>600.52</v>
      </c>
      <c r="I334">
        <v>15</v>
      </c>
      <c r="J334" t="s">
        <v>98</v>
      </c>
    </row>
    <row r="335" spans="1:10" x14ac:dyDescent="0.25">
      <c r="A335" t="s">
        <v>77</v>
      </c>
      <c r="B335" t="s">
        <v>616</v>
      </c>
      <c r="C335" t="s">
        <v>422</v>
      </c>
      <c r="D335" t="s">
        <v>13</v>
      </c>
      <c r="E335" t="s">
        <v>27</v>
      </c>
      <c r="F335" t="s">
        <v>42</v>
      </c>
      <c r="G335">
        <v>5</v>
      </c>
      <c r="H335">
        <v>451.93</v>
      </c>
      <c r="I335">
        <v>0</v>
      </c>
      <c r="J335" t="s">
        <v>16</v>
      </c>
    </row>
    <row r="336" spans="1:10" x14ac:dyDescent="0.25">
      <c r="A336" t="s">
        <v>514</v>
      </c>
      <c r="B336" t="s">
        <v>617</v>
      </c>
      <c r="C336" t="s">
        <v>370</v>
      </c>
      <c r="D336" t="s">
        <v>20</v>
      </c>
      <c r="E336" t="s">
        <v>33</v>
      </c>
      <c r="F336" t="s">
        <v>34</v>
      </c>
      <c r="G336">
        <v>9</v>
      </c>
      <c r="H336">
        <v>293.7</v>
      </c>
      <c r="I336">
        <v>10</v>
      </c>
      <c r="J336" t="s">
        <v>29</v>
      </c>
    </row>
    <row r="337" spans="1:10" x14ac:dyDescent="0.25">
      <c r="A337" t="s">
        <v>54</v>
      </c>
      <c r="B337" t="s">
        <v>618</v>
      </c>
      <c r="C337" t="s">
        <v>476</v>
      </c>
      <c r="D337" t="s">
        <v>13</v>
      </c>
      <c r="E337" t="s">
        <v>27</v>
      </c>
      <c r="F337" t="s">
        <v>42</v>
      </c>
      <c r="G337">
        <v>6</v>
      </c>
      <c r="H337">
        <v>762.96</v>
      </c>
      <c r="I337">
        <v>0</v>
      </c>
      <c r="J337" t="s">
        <v>22</v>
      </c>
    </row>
    <row r="338" spans="1:10" x14ac:dyDescent="0.25">
      <c r="A338" t="s">
        <v>482</v>
      </c>
      <c r="B338" t="s">
        <v>619</v>
      </c>
      <c r="C338" t="s">
        <v>107</v>
      </c>
      <c r="D338" t="s">
        <v>41</v>
      </c>
      <c r="E338" t="s">
        <v>33</v>
      </c>
      <c r="F338" t="s">
        <v>46</v>
      </c>
      <c r="G338">
        <v>8</v>
      </c>
      <c r="H338">
        <v>62.56</v>
      </c>
      <c r="I338">
        <v>10</v>
      </c>
      <c r="J338" t="s">
        <v>16</v>
      </c>
    </row>
    <row r="339" spans="1:10" x14ac:dyDescent="0.25">
      <c r="A339" t="s">
        <v>552</v>
      </c>
      <c r="B339" t="s">
        <v>620</v>
      </c>
      <c r="C339" t="s">
        <v>503</v>
      </c>
      <c r="D339" t="s">
        <v>41</v>
      </c>
      <c r="E339" t="s">
        <v>27</v>
      </c>
      <c r="F339" t="s">
        <v>42</v>
      </c>
      <c r="G339">
        <v>9</v>
      </c>
      <c r="H339">
        <v>620.05999999999995</v>
      </c>
      <c r="I339">
        <v>15</v>
      </c>
      <c r="J339" t="s">
        <v>22</v>
      </c>
    </row>
    <row r="340" spans="1:10" x14ac:dyDescent="0.25">
      <c r="A340" t="s">
        <v>372</v>
      </c>
      <c r="B340" t="s">
        <v>621</v>
      </c>
      <c r="C340" t="s">
        <v>66</v>
      </c>
      <c r="D340" t="s">
        <v>20</v>
      </c>
      <c r="E340" t="s">
        <v>27</v>
      </c>
      <c r="F340" t="s">
        <v>28</v>
      </c>
      <c r="G340">
        <v>9</v>
      </c>
      <c r="H340">
        <v>669.36</v>
      </c>
      <c r="I340">
        <v>0</v>
      </c>
      <c r="J340" t="s">
        <v>22</v>
      </c>
    </row>
    <row r="341" spans="1:10" x14ac:dyDescent="0.25">
      <c r="A341" t="s">
        <v>622</v>
      </c>
      <c r="B341" t="s">
        <v>623</v>
      </c>
      <c r="C341" t="s">
        <v>318</v>
      </c>
      <c r="D341" t="s">
        <v>13</v>
      </c>
      <c r="E341" t="s">
        <v>14</v>
      </c>
      <c r="F341" t="s">
        <v>21</v>
      </c>
      <c r="G341">
        <v>7</v>
      </c>
      <c r="H341">
        <v>1136.8900000000001</v>
      </c>
      <c r="I341">
        <v>5</v>
      </c>
      <c r="J341" t="s">
        <v>16</v>
      </c>
    </row>
    <row r="342" spans="1:10" x14ac:dyDescent="0.25">
      <c r="A342" t="s">
        <v>109</v>
      </c>
      <c r="B342" t="s">
        <v>624</v>
      </c>
      <c r="C342" t="s">
        <v>229</v>
      </c>
      <c r="D342" t="s">
        <v>20</v>
      </c>
      <c r="E342" t="s">
        <v>14</v>
      </c>
      <c r="F342" t="s">
        <v>15</v>
      </c>
      <c r="G342">
        <v>4</v>
      </c>
      <c r="H342">
        <v>497.48</v>
      </c>
      <c r="I342">
        <v>10</v>
      </c>
      <c r="J342" t="s">
        <v>16</v>
      </c>
    </row>
    <row r="343" spans="1:10" x14ac:dyDescent="0.25">
      <c r="A343" t="s">
        <v>59</v>
      </c>
      <c r="B343" t="s">
        <v>625</v>
      </c>
      <c r="C343" t="s">
        <v>75</v>
      </c>
      <c r="D343" t="s">
        <v>26</v>
      </c>
      <c r="E343" t="s">
        <v>14</v>
      </c>
      <c r="F343" t="s">
        <v>76</v>
      </c>
      <c r="G343">
        <v>4</v>
      </c>
      <c r="H343">
        <v>971.78</v>
      </c>
      <c r="I343">
        <v>5</v>
      </c>
      <c r="J343" t="s">
        <v>22</v>
      </c>
    </row>
    <row r="344" spans="1:10" x14ac:dyDescent="0.25">
      <c r="A344" t="s">
        <v>276</v>
      </c>
      <c r="B344" t="s">
        <v>626</v>
      </c>
      <c r="C344" t="s">
        <v>269</v>
      </c>
      <c r="D344" t="s">
        <v>13</v>
      </c>
      <c r="E344" t="s">
        <v>33</v>
      </c>
      <c r="F344" t="s">
        <v>82</v>
      </c>
      <c r="G344">
        <v>2</v>
      </c>
      <c r="H344">
        <v>95.82</v>
      </c>
      <c r="I344">
        <v>10</v>
      </c>
      <c r="J344" t="s">
        <v>16</v>
      </c>
    </row>
    <row r="345" spans="1:10" x14ac:dyDescent="0.25">
      <c r="A345" t="s">
        <v>143</v>
      </c>
      <c r="B345" t="s">
        <v>627</v>
      </c>
      <c r="C345" t="s">
        <v>289</v>
      </c>
      <c r="D345" t="s">
        <v>20</v>
      </c>
      <c r="E345" t="s">
        <v>14</v>
      </c>
      <c r="F345" t="s">
        <v>15</v>
      </c>
      <c r="G345">
        <v>8</v>
      </c>
      <c r="H345">
        <v>955.17</v>
      </c>
      <c r="I345">
        <v>5</v>
      </c>
      <c r="J345" t="s">
        <v>22</v>
      </c>
    </row>
    <row r="346" spans="1:10" x14ac:dyDescent="0.25">
      <c r="A346" t="s">
        <v>48</v>
      </c>
      <c r="B346" t="s">
        <v>628</v>
      </c>
      <c r="C346" t="s">
        <v>40</v>
      </c>
      <c r="D346" t="s">
        <v>41</v>
      </c>
      <c r="E346" t="s">
        <v>62</v>
      </c>
      <c r="F346" t="s">
        <v>63</v>
      </c>
      <c r="G346">
        <v>2</v>
      </c>
      <c r="H346">
        <v>180.58</v>
      </c>
      <c r="I346">
        <v>15</v>
      </c>
      <c r="J346" t="s">
        <v>22</v>
      </c>
    </row>
    <row r="347" spans="1:10" x14ac:dyDescent="0.25">
      <c r="A347" t="s">
        <v>622</v>
      </c>
      <c r="B347" t="s">
        <v>629</v>
      </c>
      <c r="C347" t="s">
        <v>261</v>
      </c>
      <c r="D347" t="s">
        <v>13</v>
      </c>
      <c r="E347" t="s">
        <v>33</v>
      </c>
      <c r="F347" t="s">
        <v>46</v>
      </c>
      <c r="G347">
        <v>10</v>
      </c>
      <c r="H347">
        <v>222.66</v>
      </c>
      <c r="I347">
        <v>15</v>
      </c>
      <c r="J347" t="s">
        <v>16</v>
      </c>
    </row>
    <row r="348" spans="1:10" x14ac:dyDescent="0.25">
      <c r="A348" t="s">
        <v>178</v>
      </c>
      <c r="B348" t="s">
        <v>630</v>
      </c>
      <c r="C348" t="s">
        <v>272</v>
      </c>
      <c r="D348" t="s">
        <v>13</v>
      </c>
      <c r="E348" t="s">
        <v>14</v>
      </c>
      <c r="F348" t="s">
        <v>15</v>
      </c>
      <c r="G348">
        <v>8</v>
      </c>
      <c r="H348">
        <v>74.27</v>
      </c>
      <c r="I348">
        <v>10</v>
      </c>
      <c r="J348" t="s">
        <v>16</v>
      </c>
    </row>
    <row r="349" spans="1:10" x14ac:dyDescent="0.25">
      <c r="A349" t="s">
        <v>631</v>
      </c>
      <c r="B349" t="s">
        <v>632</v>
      </c>
      <c r="C349" t="s">
        <v>386</v>
      </c>
      <c r="D349" t="s">
        <v>26</v>
      </c>
      <c r="E349" t="s">
        <v>27</v>
      </c>
      <c r="F349" t="s">
        <v>51</v>
      </c>
      <c r="G349">
        <v>10</v>
      </c>
      <c r="H349">
        <v>503.99</v>
      </c>
      <c r="I349">
        <v>5</v>
      </c>
      <c r="J349" t="s">
        <v>98</v>
      </c>
    </row>
    <row r="350" spans="1:10" x14ac:dyDescent="0.25">
      <c r="A350" t="s">
        <v>178</v>
      </c>
      <c r="B350" t="s">
        <v>633</v>
      </c>
      <c r="C350" t="s">
        <v>314</v>
      </c>
      <c r="D350" t="s">
        <v>26</v>
      </c>
      <c r="E350" t="s">
        <v>27</v>
      </c>
      <c r="F350" t="s">
        <v>42</v>
      </c>
      <c r="G350">
        <v>10</v>
      </c>
      <c r="H350">
        <v>684.93</v>
      </c>
      <c r="I350">
        <v>0</v>
      </c>
      <c r="J350" t="s">
        <v>98</v>
      </c>
    </row>
    <row r="351" spans="1:10" x14ac:dyDescent="0.25">
      <c r="A351" t="s">
        <v>634</v>
      </c>
      <c r="B351" t="s">
        <v>635</v>
      </c>
      <c r="C351" t="s">
        <v>236</v>
      </c>
      <c r="D351" t="s">
        <v>13</v>
      </c>
      <c r="E351" t="s">
        <v>14</v>
      </c>
      <c r="F351" t="s">
        <v>76</v>
      </c>
      <c r="G351">
        <v>2</v>
      </c>
      <c r="H351">
        <v>912.6</v>
      </c>
      <c r="I351">
        <v>10</v>
      </c>
      <c r="J351" t="s">
        <v>98</v>
      </c>
    </row>
    <row r="352" spans="1:10" x14ac:dyDescent="0.25">
      <c r="A352" t="s">
        <v>407</v>
      </c>
      <c r="B352" t="s">
        <v>636</v>
      </c>
      <c r="C352" t="s">
        <v>307</v>
      </c>
      <c r="D352" t="s">
        <v>41</v>
      </c>
      <c r="E352" t="s">
        <v>62</v>
      </c>
      <c r="F352" t="s">
        <v>63</v>
      </c>
      <c r="G352">
        <v>5</v>
      </c>
      <c r="H352">
        <v>1010.71</v>
      </c>
      <c r="I352">
        <v>5</v>
      </c>
      <c r="J352" t="s">
        <v>98</v>
      </c>
    </row>
    <row r="353" spans="1:10" x14ac:dyDescent="0.25">
      <c r="A353" t="s">
        <v>247</v>
      </c>
      <c r="B353" t="s">
        <v>637</v>
      </c>
      <c r="C353" t="s">
        <v>69</v>
      </c>
      <c r="D353" t="s">
        <v>13</v>
      </c>
      <c r="E353" t="s">
        <v>62</v>
      </c>
      <c r="F353" t="s">
        <v>79</v>
      </c>
      <c r="G353">
        <v>8</v>
      </c>
      <c r="H353">
        <v>983.86</v>
      </c>
      <c r="I353">
        <v>10</v>
      </c>
      <c r="J353" t="s">
        <v>22</v>
      </c>
    </row>
    <row r="354" spans="1:10" x14ac:dyDescent="0.25">
      <c r="A354" t="s">
        <v>86</v>
      </c>
      <c r="B354" t="s">
        <v>638</v>
      </c>
      <c r="C354" t="s">
        <v>75</v>
      </c>
      <c r="D354" t="s">
        <v>13</v>
      </c>
      <c r="E354" t="s">
        <v>33</v>
      </c>
      <c r="F354" t="s">
        <v>34</v>
      </c>
      <c r="G354">
        <v>6</v>
      </c>
      <c r="H354">
        <v>1125.9100000000001</v>
      </c>
      <c r="I354">
        <v>10</v>
      </c>
      <c r="J354" t="s">
        <v>22</v>
      </c>
    </row>
    <row r="355" spans="1:10" x14ac:dyDescent="0.25">
      <c r="A355" t="s">
        <v>164</v>
      </c>
      <c r="B355" t="s">
        <v>639</v>
      </c>
      <c r="C355" t="s">
        <v>201</v>
      </c>
      <c r="D355" t="s">
        <v>26</v>
      </c>
      <c r="E355" t="s">
        <v>62</v>
      </c>
      <c r="F355" t="s">
        <v>79</v>
      </c>
      <c r="G355">
        <v>1</v>
      </c>
      <c r="H355">
        <v>179.27</v>
      </c>
      <c r="I355">
        <v>5</v>
      </c>
      <c r="J355" t="s">
        <v>29</v>
      </c>
    </row>
    <row r="356" spans="1:10" x14ac:dyDescent="0.25">
      <c r="A356" t="s">
        <v>477</v>
      </c>
      <c r="B356" t="s">
        <v>640</v>
      </c>
      <c r="C356" t="s">
        <v>370</v>
      </c>
      <c r="D356" t="s">
        <v>26</v>
      </c>
      <c r="E356" t="s">
        <v>27</v>
      </c>
      <c r="F356" t="s">
        <v>42</v>
      </c>
      <c r="G356">
        <v>9</v>
      </c>
      <c r="H356">
        <v>22.63</v>
      </c>
      <c r="I356">
        <v>15</v>
      </c>
      <c r="J356" t="s">
        <v>22</v>
      </c>
    </row>
    <row r="357" spans="1:10" x14ac:dyDescent="0.25">
      <c r="A357" t="s">
        <v>266</v>
      </c>
      <c r="B357" t="s">
        <v>641</v>
      </c>
      <c r="C357" t="s">
        <v>269</v>
      </c>
      <c r="D357" t="s">
        <v>20</v>
      </c>
      <c r="E357" t="s">
        <v>33</v>
      </c>
      <c r="F357" t="s">
        <v>82</v>
      </c>
      <c r="G357">
        <v>6</v>
      </c>
      <c r="H357">
        <v>725.45</v>
      </c>
      <c r="I357">
        <v>0</v>
      </c>
      <c r="J357" t="s">
        <v>16</v>
      </c>
    </row>
    <row r="358" spans="1:10" x14ac:dyDescent="0.25">
      <c r="A358" t="s">
        <v>164</v>
      </c>
      <c r="B358" t="s">
        <v>642</v>
      </c>
      <c r="C358" t="s">
        <v>216</v>
      </c>
      <c r="D358" t="s">
        <v>13</v>
      </c>
      <c r="E358" t="s">
        <v>62</v>
      </c>
      <c r="F358" t="s">
        <v>79</v>
      </c>
      <c r="G358">
        <v>9</v>
      </c>
      <c r="H358">
        <v>1178.1099999999999</v>
      </c>
      <c r="I358">
        <v>10</v>
      </c>
      <c r="J358" t="s">
        <v>108</v>
      </c>
    </row>
    <row r="359" spans="1:10" x14ac:dyDescent="0.25">
      <c r="A359" t="s">
        <v>83</v>
      </c>
      <c r="B359" t="s">
        <v>643</v>
      </c>
      <c r="C359" t="s">
        <v>254</v>
      </c>
      <c r="D359" t="s">
        <v>20</v>
      </c>
      <c r="E359" t="s">
        <v>33</v>
      </c>
      <c r="F359" t="s">
        <v>46</v>
      </c>
      <c r="G359">
        <v>6</v>
      </c>
      <c r="H359">
        <v>1050.49</v>
      </c>
      <c r="I359">
        <v>10</v>
      </c>
      <c r="J359" t="s">
        <v>16</v>
      </c>
    </row>
    <row r="360" spans="1:10" x14ac:dyDescent="0.25">
      <c r="A360" t="s">
        <v>644</v>
      </c>
      <c r="B360" t="s">
        <v>645</v>
      </c>
      <c r="C360" t="s">
        <v>72</v>
      </c>
      <c r="D360" t="s">
        <v>20</v>
      </c>
      <c r="E360" t="s">
        <v>33</v>
      </c>
      <c r="F360" t="s">
        <v>82</v>
      </c>
      <c r="G360">
        <v>7</v>
      </c>
      <c r="H360">
        <v>403.57</v>
      </c>
      <c r="I360">
        <v>15</v>
      </c>
      <c r="J360" t="s">
        <v>29</v>
      </c>
    </row>
    <row r="361" spans="1:10" x14ac:dyDescent="0.25">
      <c r="A361" t="s">
        <v>607</v>
      </c>
      <c r="B361" t="s">
        <v>646</v>
      </c>
      <c r="C361" t="s">
        <v>254</v>
      </c>
      <c r="D361" t="s">
        <v>26</v>
      </c>
      <c r="E361" t="s">
        <v>62</v>
      </c>
      <c r="F361" t="s">
        <v>73</v>
      </c>
      <c r="G361">
        <v>7</v>
      </c>
      <c r="H361">
        <v>497.87</v>
      </c>
      <c r="I361">
        <v>15</v>
      </c>
      <c r="J361" t="s">
        <v>47</v>
      </c>
    </row>
    <row r="362" spans="1:10" x14ac:dyDescent="0.25">
      <c r="A362" t="s">
        <v>193</v>
      </c>
      <c r="B362" t="s">
        <v>647</v>
      </c>
      <c r="C362" t="s">
        <v>101</v>
      </c>
      <c r="D362" t="s">
        <v>41</v>
      </c>
      <c r="E362" t="s">
        <v>62</v>
      </c>
      <c r="F362" t="s">
        <v>63</v>
      </c>
      <c r="G362">
        <v>9</v>
      </c>
      <c r="H362">
        <v>738.27</v>
      </c>
      <c r="I362">
        <v>0</v>
      </c>
      <c r="J362" t="s">
        <v>22</v>
      </c>
    </row>
    <row r="363" spans="1:10" x14ac:dyDescent="0.25">
      <c r="A363" t="s">
        <v>644</v>
      </c>
      <c r="B363" t="s">
        <v>648</v>
      </c>
      <c r="C363" t="s">
        <v>455</v>
      </c>
      <c r="D363" t="s">
        <v>13</v>
      </c>
      <c r="E363" t="s">
        <v>27</v>
      </c>
      <c r="F363" t="s">
        <v>28</v>
      </c>
      <c r="G363">
        <v>10</v>
      </c>
      <c r="H363">
        <v>624.80999999999995</v>
      </c>
      <c r="I363">
        <v>15</v>
      </c>
      <c r="J363" t="s">
        <v>108</v>
      </c>
    </row>
    <row r="364" spans="1:10" x14ac:dyDescent="0.25">
      <c r="A364" t="s">
        <v>505</v>
      </c>
      <c r="B364" t="s">
        <v>649</v>
      </c>
      <c r="C364" t="s">
        <v>333</v>
      </c>
      <c r="D364" t="s">
        <v>26</v>
      </c>
      <c r="E364" t="s">
        <v>33</v>
      </c>
      <c r="F364" t="s">
        <v>46</v>
      </c>
      <c r="G364">
        <v>9</v>
      </c>
      <c r="H364">
        <v>972.39</v>
      </c>
      <c r="I364">
        <v>0</v>
      </c>
      <c r="J364" t="s">
        <v>108</v>
      </c>
    </row>
    <row r="365" spans="1:10" x14ac:dyDescent="0.25">
      <c r="A365" t="s">
        <v>650</v>
      </c>
      <c r="B365" t="s">
        <v>651</v>
      </c>
      <c r="C365" t="s">
        <v>19</v>
      </c>
      <c r="D365" t="s">
        <v>13</v>
      </c>
      <c r="E365" t="s">
        <v>62</v>
      </c>
      <c r="F365" t="s">
        <v>73</v>
      </c>
      <c r="G365">
        <v>4</v>
      </c>
      <c r="H365">
        <v>807.95</v>
      </c>
      <c r="I365">
        <v>10</v>
      </c>
      <c r="J365" t="s">
        <v>22</v>
      </c>
    </row>
    <row r="366" spans="1:10" x14ac:dyDescent="0.25">
      <c r="A366" t="s">
        <v>375</v>
      </c>
      <c r="B366" t="s">
        <v>652</v>
      </c>
      <c r="C366" t="s">
        <v>356</v>
      </c>
      <c r="D366" t="s">
        <v>13</v>
      </c>
      <c r="E366" t="s">
        <v>14</v>
      </c>
      <c r="F366" t="s">
        <v>76</v>
      </c>
      <c r="G366">
        <v>10</v>
      </c>
      <c r="H366">
        <v>360</v>
      </c>
      <c r="I366">
        <v>15</v>
      </c>
      <c r="J366" t="s">
        <v>29</v>
      </c>
    </row>
    <row r="367" spans="1:10" x14ac:dyDescent="0.25">
      <c r="A367" t="s">
        <v>653</v>
      </c>
      <c r="B367" t="s">
        <v>654</v>
      </c>
      <c r="C367" t="s">
        <v>196</v>
      </c>
      <c r="D367" t="s">
        <v>20</v>
      </c>
      <c r="E367" t="s">
        <v>27</v>
      </c>
      <c r="F367" t="s">
        <v>51</v>
      </c>
      <c r="G367">
        <v>4</v>
      </c>
      <c r="H367">
        <v>714.17</v>
      </c>
      <c r="I367">
        <v>10</v>
      </c>
      <c r="J367" t="s">
        <v>16</v>
      </c>
    </row>
    <row r="368" spans="1:10" x14ac:dyDescent="0.25">
      <c r="A368" t="s">
        <v>171</v>
      </c>
      <c r="B368" t="s">
        <v>655</v>
      </c>
      <c r="C368" t="s">
        <v>32</v>
      </c>
      <c r="D368" t="s">
        <v>13</v>
      </c>
      <c r="E368" t="s">
        <v>14</v>
      </c>
      <c r="F368" t="s">
        <v>76</v>
      </c>
      <c r="G368">
        <v>3</v>
      </c>
      <c r="H368">
        <v>1167.06</v>
      </c>
      <c r="I368">
        <v>5</v>
      </c>
      <c r="J368" t="s">
        <v>22</v>
      </c>
    </row>
    <row r="369" spans="1:10" x14ac:dyDescent="0.25">
      <c r="A369" t="s">
        <v>409</v>
      </c>
      <c r="B369" t="s">
        <v>656</v>
      </c>
      <c r="C369" t="s">
        <v>422</v>
      </c>
      <c r="D369" t="s">
        <v>41</v>
      </c>
      <c r="E369" t="s">
        <v>27</v>
      </c>
      <c r="F369" t="s">
        <v>51</v>
      </c>
      <c r="G369">
        <v>1</v>
      </c>
      <c r="H369">
        <v>962.98</v>
      </c>
      <c r="I369">
        <v>0</v>
      </c>
      <c r="J369" t="s">
        <v>98</v>
      </c>
    </row>
    <row r="370" spans="1:10" x14ac:dyDescent="0.25">
      <c r="A370" t="s">
        <v>607</v>
      </c>
      <c r="B370" t="s">
        <v>657</v>
      </c>
      <c r="C370" t="s">
        <v>150</v>
      </c>
      <c r="D370" t="s">
        <v>13</v>
      </c>
      <c r="E370" t="s">
        <v>27</v>
      </c>
      <c r="F370" t="s">
        <v>51</v>
      </c>
      <c r="G370">
        <v>5</v>
      </c>
      <c r="H370">
        <v>518.75</v>
      </c>
      <c r="I370">
        <v>0</v>
      </c>
      <c r="J370" t="s">
        <v>98</v>
      </c>
    </row>
    <row r="371" spans="1:10" x14ac:dyDescent="0.25">
      <c r="A371" t="s">
        <v>545</v>
      </c>
      <c r="B371" t="s">
        <v>658</v>
      </c>
      <c r="C371" t="s">
        <v>333</v>
      </c>
      <c r="D371" t="s">
        <v>41</v>
      </c>
      <c r="E371" t="s">
        <v>33</v>
      </c>
      <c r="F371" t="s">
        <v>46</v>
      </c>
      <c r="G371">
        <v>2</v>
      </c>
      <c r="H371">
        <v>141.15</v>
      </c>
      <c r="I371">
        <v>10</v>
      </c>
      <c r="J371" t="s">
        <v>108</v>
      </c>
    </row>
    <row r="372" spans="1:10" x14ac:dyDescent="0.25">
      <c r="A372" t="s">
        <v>458</v>
      </c>
      <c r="B372" t="s">
        <v>659</v>
      </c>
      <c r="C372" t="s">
        <v>356</v>
      </c>
      <c r="D372" t="s">
        <v>26</v>
      </c>
      <c r="E372" t="s">
        <v>14</v>
      </c>
      <c r="F372" t="s">
        <v>15</v>
      </c>
      <c r="G372">
        <v>5</v>
      </c>
      <c r="H372">
        <v>897.27</v>
      </c>
      <c r="I372">
        <v>5</v>
      </c>
      <c r="J372" t="s">
        <v>47</v>
      </c>
    </row>
    <row r="373" spans="1:10" x14ac:dyDescent="0.25">
      <c r="A373" t="s">
        <v>604</v>
      </c>
      <c r="B373" t="s">
        <v>660</v>
      </c>
      <c r="C373" t="s">
        <v>129</v>
      </c>
      <c r="D373" t="s">
        <v>13</v>
      </c>
      <c r="E373" t="s">
        <v>33</v>
      </c>
      <c r="F373" t="s">
        <v>82</v>
      </c>
      <c r="G373">
        <v>6</v>
      </c>
      <c r="H373">
        <v>1080.67</v>
      </c>
      <c r="I373">
        <v>0</v>
      </c>
      <c r="J373" t="s">
        <v>98</v>
      </c>
    </row>
    <row r="374" spans="1:10" x14ac:dyDescent="0.25">
      <c r="A374" t="s">
        <v>540</v>
      </c>
      <c r="B374" t="s">
        <v>661</v>
      </c>
      <c r="C374" t="s">
        <v>201</v>
      </c>
      <c r="D374" t="s">
        <v>26</v>
      </c>
      <c r="E374" t="s">
        <v>27</v>
      </c>
      <c r="F374" t="s">
        <v>51</v>
      </c>
      <c r="G374">
        <v>9</v>
      </c>
      <c r="H374">
        <v>1135.8800000000001</v>
      </c>
      <c r="I374">
        <v>10</v>
      </c>
      <c r="J374" t="s">
        <v>108</v>
      </c>
    </row>
    <row r="375" spans="1:10" x14ac:dyDescent="0.25">
      <c r="A375" t="s">
        <v>178</v>
      </c>
      <c r="B375" t="s">
        <v>662</v>
      </c>
      <c r="C375" t="s">
        <v>279</v>
      </c>
      <c r="D375" t="s">
        <v>20</v>
      </c>
      <c r="E375" t="s">
        <v>27</v>
      </c>
      <c r="F375" t="s">
        <v>28</v>
      </c>
      <c r="G375">
        <v>5</v>
      </c>
      <c r="H375">
        <v>966.24</v>
      </c>
      <c r="I375">
        <v>10</v>
      </c>
      <c r="J375" t="s">
        <v>98</v>
      </c>
    </row>
    <row r="376" spans="1:10" x14ac:dyDescent="0.25">
      <c r="A376" t="s">
        <v>411</v>
      </c>
      <c r="B376" t="s">
        <v>663</v>
      </c>
      <c r="C376" t="s">
        <v>356</v>
      </c>
      <c r="D376" t="s">
        <v>41</v>
      </c>
      <c r="E376" t="s">
        <v>33</v>
      </c>
      <c r="F376" t="s">
        <v>34</v>
      </c>
      <c r="G376">
        <v>5</v>
      </c>
      <c r="H376">
        <v>319.89</v>
      </c>
      <c r="I376">
        <v>0</v>
      </c>
      <c r="J376" t="s">
        <v>47</v>
      </c>
    </row>
    <row r="377" spans="1:10" x14ac:dyDescent="0.25">
      <c r="A377" t="s">
        <v>43</v>
      </c>
      <c r="B377" t="s">
        <v>664</v>
      </c>
      <c r="C377" t="s">
        <v>256</v>
      </c>
      <c r="D377" t="s">
        <v>41</v>
      </c>
      <c r="E377" t="s">
        <v>14</v>
      </c>
      <c r="F377" t="s">
        <v>15</v>
      </c>
      <c r="G377">
        <v>5</v>
      </c>
      <c r="H377">
        <v>659.17</v>
      </c>
      <c r="I377">
        <v>15</v>
      </c>
      <c r="J377" t="s">
        <v>16</v>
      </c>
    </row>
    <row r="378" spans="1:10" x14ac:dyDescent="0.25">
      <c r="A378" t="s">
        <v>199</v>
      </c>
      <c r="B378" t="s">
        <v>665</v>
      </c>
      <c r="C378" t="s">
        <v>356</v>
      </c>
      <c r="D378" t="s">
        <v>41</v>
      </c>
      <c r="E378" t="s">
        <v>27</v>
      </c>
      <c r="F378" t="s">
        <v>42</v>
      </c>
      <c r="G378">
        <v>10</v>
      </c>
      <c r="H378">
        <v>677.21</v>
      </c>
      <c r="I378">
        <v>5</v>
      </c>
      <c r="J378" t="s">
        <v>47</v>
      </c>
    </row>
    <row r="379" spans="1:10" x14ac:dyDescent="0.25">
      <c r="A379" t="s">
        <v>321</v>
      </c>
      <c r="B379" t="s">
        <v>666</v>
      </c>
      <c r="C379" t="s">
        <v>192</v>
      </c>
      <c r="D379" t="s">
        <v>26</v>
      </c>
      <c r="E379" t="s">
        <v>33</v>
      </c>
      <c r="F379" t="s">
        <v>34</v>
      </c>
      <c r="G379">
        <v>10</v>
      </c>
      <c r="H379">
        <v>297.14</v>
      </c>
      <c r="I379">
        <v>10</v>
      </c>
      <c r="J379" t="s">
        <v>108</v>
      </c>
    </row>
    <row r="380" spans="1:10" x14ac:dyDescent="0.25">
      <c r="A380" t="s">
        <v>102</v>
      </c>
      <c r="B380" t="s">
        <v>667</v>
      </c>
      <c r="C380" t="s">
        <v>379</v>
      </c>
      <c r="D380" t="s">
        <v>41</v>
      </c>
      <c r="E380" t="s">
        <v>14</v>
      </c>
      <c r="F380" t="s">
        <v>76</v>
      </c>
      <c r="G380">
        <v>10</v>
      </c>
      <c r="H380">
        <v>1182.8800000000001</v>
      </c>
      <c r="I380">
        <v>10</v>
      </c>
      <c r="J380" t="s">
        <v>29</v>
      </c>
    </row>
    <row r="381" spans="1:10" x14ac:dyDescent="0.25">
      <c r="A381" t="s">
        <v>224</v>
      </c>
      <c r="B381" t="s">
        <v>668</v>
      </c>
      <c r="C381" t="s">
        <v>104</v>
      </c>
      <c r="D381" t="s">
        <v>41</v>
      </c>
      <c r="E381" t="s">
        <v>27</v>
      </c>
      <c r="F381" t="s">
        <v>28</v>
      </c>
      <c r="G381">
        <v>8</v>
      </c>
      <c r="H381">
        <v>589.69000000000005</v>
      </c>
      <c r="I381">
        <v>0</v>
      </c>
      <c r="J381" t="s">
        <v>29</v>
      </c>
    </row>
    <row r="382" spans="1:10" x14ac:dyDescent="0.25">
      <c r="A382" t="s">
        <v>56</v>
      </c>
      <c r="B382" t="s">
        <v>669</v>
      </c>
      <c r="C382" t="s">
        <v>85</v>
      </c>
      <c r="D382" t="s">
        <v>41</v>
      </c>
      <c r="E382" t="s">
        <v>27</v>
      </c>
      <c r="F382" t="s">
        <v>28</v>
      </c>
      <c r="G382">
        <v>10</v>
      </c>
      <c r="H382">
        <v>788.8</v>
      </c>
      <c r="I382">
        <v>0</v>
      </c>
      <c r="J382" t="s">
        <v>16</v>
      </c>
    </row>
    <row r="383" spans="1:10" x14ac:dyDescent="0.25">
      <c r="A383" t="s">
        <v>330</v>
      </c>
      <c r="B383" t="s">
        <v>670</v>
      </c>
      <c r="C383" t="s">
        <v>346</v>
      </c>
      <c r="D383" t="s">
        <v>26</v>
      </c>
      <c r="E383" t="s">
        <v>33</v>
      </c>
      <c r="F383" t="s">
        <v>34</v>
      </c>
      <c r="G383">
        <v>3</v>
      </c>
      <c r="H383">
        <v>824.77</v>
      </c>
      <c r="I383">
        <v>5</v>
      </c>
      <c r="J383" t="s">
        <v>29</v>
      </c>
    </row>
    <row r="384" spans="1:10" x14ac:dyDescent="0.25">
      <c r="A384" t="s">
        <v>671</v>
      </c>
      <c r="B384" t="s">
        <v>672</v>
      </c>
      <c r="C384" t="s">
        <v>397</v>
      </c>
      <c r="D384" t="s">
        <v>41</v>
      </c>
      <c r="E384" t="s">
        <v>14</v>
      </c>
      <c r="F384" t="s">
        <v>76</v>
      </c>
      <c r="G384">
        <v>3</v>
      </c>
      <c r="H384">
        <v>760.3</v>
      </c>
      <c r="I384">
        <v>5</v>
      </c>
      <c r="J384" t="s">
        <v>22</v>
      </c>
    </row>
    <row r="385" spans="1:10" x14ac:dyDescent="0.25">
      <c r="A385" t="s">
        <v>67</v>
      </c>
      <c r="B385" t="s">
        <v>673</v>
      </c>
      <c r="C385" t="s">
        <v>124</v>
      </c>
      <c r="D385" t="s">
        <v>20</v>
      </c>
      <c r="E385" t="s">
        <v>33</v>
      </c>
      <c r="F385" t="s">
        <v>82</v>
      </c>
      <c r="G385">
        <v>10</v>
      </c>
      <c r="H385">
        <v>370.49</v>
      </c>
      <c r="I385">
        <v>5</v>
      </c>
      <c r="J385" t="s">
        <v>108</v>
      </c>
    </row>
    <row r="386" spans="1:10" x14ac:dyDescent="0.25">
      <c r="A386" t="s">
        <v>501</v>
      </c>
      <c r="B386" t="s">
        <v>674</v>
      </c>
      <c r="C386" t="s">
        <v>210</v>
      </c>
      <c r="D386" t="s">
        <v>41</v>
      </c>
      <c r="E386" t="s">
        <v>62</v>
      </c>
      <c r="F386" t="s">
        <v>79</v>
      </c>
      <c r="G386">
        <v>5</v>
      </c>
      <c r="H386">
        <v>1070.32</v>
      </c>
      <c r="I386">
        <v>15</v>
      </c>
      <c r="J386" t="s">
        <v>16</v>
      </c>
    </row>
    <row r="387" spans="1:10" x14ac:dyDescent="0.25">
      <c r="A387" t="s">
        <v>23</v>
      </c>
      <c r="B387" t="s">
        <v>675</v>
      </c>
      <c r="C387" t="s">
        <v>370</v>
      </c>
      <c r="D387" t="s">
        <v>26</v>
      </c>
      <c r="E387" t="s">
        <v>14</v>
      </c>
      <c r="F387" t="s">
        <v>15</v>
      </c>
      <c r="G387">
        <v>5</v>
      </c>
      <c r="H387">
        <v>589.71</v>
      </c>
      <c r="I387">
        <v>0</v>
      </c>
      <c r="J387" t="s">
        <v>108</v>
      </c>
    </row>
    <row r="388" spans="1:10" x14ac:dyDescent="0.25">
      <c r="A388" t="s">
        <v>102</v>
      </c>
      <c r="B388" t="s">
        <v>676</v>
      </c>
      <c r="C388" t="s">
        <v>37</v>
      </c>
      <c r="D388" t="s">
        <v>20</v>
      </c>
      <c r="E388" t="s">
        <v>14</v>
      </c>
      <c r="F388" t="s">
        <v>76</v>
      </c>
      <c r="G388">
        <v>10</v>
      </c>
      <c r="H388">
        <v>750.34</v>
      </c>
      <c r="I388">
        <v>5</v>
      </c>
      <c r="J388" t="s">
        <v>22</v>
      </c>
    </row>
    <row r="389" spans="1:10" x14ac:dyDescent="0.25">
      <c r="A389" t="s">
        <v>237</v>
      </c>
      <c r="B389" t="s">
        <v>677</v>
      </c>
      <c r="C389" t="s">
        <v>101</v>
      </c>
      <c r="D389" t="s">
        <v>13</v>
      </c>
      <c r="E389" t="s">
        <v>27</v>
      </c>
      <c r="F389" t="s">
        <v>42</v>
      </c>
      <c r="G389">
        <v>8</v>
      </c>
      <c r="H389">
        <v>107.48</v>
      </c>
      <c r="I389">
        <v>10</v>
      </c>
      <c r="J389" t="s">
        <v>22</v>
      </c>
    </row>
    <row r="390" spans="1:10" x14ac:dyDescent="0.25">
      <c r="A390" t="s">
        <v>95</v>
      </c>
      <c r="B390" t="s">
        <v>678</v>
      </c>
      <c r="C390" t="s">
        <v>428</v>
      </c>
      <c r="D390" t="s">
        <v>20</v>
      </c>
      <c r="E390" t="s">
        <v>14</v>
      </c>
      <c r="F390" t="s">
        <v>15</v>
      </c>
      <c r="G390">
        <v>3</v>
      </c>
      <c r="H390">
        <v>785.23</v>
      </c>
      <c r="I390">
        <v>10</v>
      </c>
      <c r="J390" t="s">
        <v>47</v>
      </c>
    </row>
    <row r="391" spans="1:10" x14ac:dyDescent="0.25">
      <c r="A391" t="s">
        <v>316</v>
      </c>
      <c r="B391" t="s">
        <v>679</v>
      </c>
      <c r="C391" t="s">
        <v>132</v>
      </c>
      <c r="D391" t="s">
        <v>13</v>
      </c>
      <c r="E391" t="s">
        <v>62</v>
      </c>
      <c r="F391" t="s">
        <v>63</v>
      </c>
      <c r="G391">
        <v>7</v>
      </c>
      <c r="H391">
        <v>461.66</v>
      </c>
      <c r="I391">
        <v>15</v>
      </c>
      <c r="J391" t="s">
        <v>98</v>
      </c>
    </row>
    <row r="392" spans="1:10" x14ac:dyDescent="0.25">
      <c r="A392" t="s">
        <v>680</v>
      </c>
      <c r="B392" t="s">
        <v>681</v>
      </c>
      <c r="C392" t="s">
        <v>61</v>
      </c>
      <c r="D392" t="s">
        <v>13</v>
      </c>
      <c r="E392" t="s">
        <v>33</v>
      </c>
      <c r="F392" t="s">
        <v>46</v>
      </c>
      <c r="G392">
        <v>6</v>
      </c>
      <c r="H392">
        <v>410.02</v>
      </c>
      <c r="I392">
        <v>0</v>
      </c>
      <c r="J392" t="s">
        <v>22</v>
      </c>
    </row>
    <row r="393" spans="1:10" x14ac:dyDescent="0.25">
      <c r="A393" t="s">
        <v>682</v>
      </c>
      <c r="B393" t="s">
        <v>683</v>
      </c>
      <c r="C393" t="s">
        <v>117</v>
      </c>
      <c r="D393" t="s">
        <v>41</v>
      </c>
      <c r="E393" t="s">
        <v>62</v>
      </c>
      <c r="F393" t="s">
        <v>63</v>
      </c>
      <c r="G393">
        <v>1</v>
      </c>
      <c r="H393">
        <v>973.85</v>
      </c>
      <c r="I393">
        <v>0</v>
      </c>
      <c r="J393" t="s">
        <v>47</v>
      </c>
    </row>
    <row r="394" spans="1:10" x14ac:dyDescent="0.25">
      <c r="A394" t="s">
        <v>372</v>
      </c>
      <c r="B394" t="s">
        <v>684</v>
      </c>
      <c r="C394" t="s">
        <v>258</v>
      </c>
      <c r="D394" t="s">
        <v>26</v>
      </c>
      <c r="E394" t="s">
        <v>33</v>
      </c>
      <c r="F394" t="s">
        <v>46</v>
      </c>
      <c r="G394">
        <v>1</v>
      </c>
      <c r="H394">
        <v>96.7</v>
      </c>
      <c r="I394">
        <v>0</v>
      </c>
      <c r="J394" t="s">
        <v>98</v>
      </c>
    </row>
    <row r="395" spans="1:10" x14ac:dyDescent="0.25">
      <c r="A395" t="s">
        <v>407</v>
      </c>
      <c r="B395" t="s">
        <v>685</v>
      </c>
      <c r="C395" t="s">
        <v>422</v>
      </c>
      <c r="D395" t="s">
        <v>20</v>
      </c>
      <c r="E395" t="s">
        <v>27</v>
      </c>
      <c r="F395" t="s">
        <v>28</v>
      </c>
      <c r="G395">
        <v>4</v>
      </c>
      <c r="H395">
        <v>187.37</v>
      </c>
      <c r="I395">
        <v>0</v>
      </c>
      <c r="J395" t="s">
        <v>98</v>
      </c>
    </row>
    <row r="396" spans="1:10" x14ac:dyDescent="0.25">
      <c r="A396" t="s">
        <v>93</v>
      </c>
      <c r="B396" t="s">
        <v>686</v>
      </c>
      <c r="C396" t="s">
        <v>58</v>
      </c>
      <c r="D396" t="s">
        <v>20</v>
      </c>
      <c r="E396" t="s">
        <v>27</v>
      </c>
      <c r="F396" t="s">
        <v>42</v>
      </c>
      <c r="G396">
        <v>9</v>
      </c>
      <c r="H396">
        <v>974.58</v>
      </c>
      <c r="I396">
        <v>15</v>
      </c>
      <c r="J396" t="s">
        <v>98</v>
      </c>
    </row>
    <row r="397" spans="1:10" x14ac:dyDescent="0.25">
      <c r="A397" t="s">
        <v>354</v>
      </c>
      <c r="B397" t="s">
        <v>687</v>
      </c>
      <c r="C397" t="s">
        <v>275</v>
      </c>
      <c r="D397" t="s">
        <v>41</v>
      </c>
      <c r="E397" t="s">
        <v>62</v>
      </c>
      <c r="F397" t="s">
        <v>73</v>
      </c>
      <c r="G397">
        <v>4</v>
      </c>
      <c r="H397">
        <v>406.06</v>
      </c>
      <c r="I397">
        <v>0</v>
      </c>
      <c r="J397" t="s">
        <v>16</v>
      </c>
    </row>
    <row r="398" spans="1:10" x14ac:dyDescent="0.25">
      <c r="A398" t="s">
        <v>95</v>
      </c>
      <c r="B398" t="s">
        <v>688</v>
      </c>
      <c r="C398" t="s">
        <v>37</v>
      </c>
      <c r="D398" t="s">
        <v>26</v>
      </c>
      <c r="E398" t="s">
        <v>33</v>
      </c>
      <c r="F398" t="s">
        <v>82</v>
      </c>
      <c r="G398">
        <v>4</v>
      </c>
      <c r="H398">
        <v>446.82</v>
      </c>
      <c r="I398">
        <v>5</v>
      </c>
      <c r="J398" t="s">
        <v>98</v>
      </c>
    </row>
    <row r="399" spans="1:10" x14ac:dyDescent="0.25">
      <c r="A399" t="s">
        <v>232</v>
      </c>
      <c r="B399" t="s">
        <v>689</v>
      </c>
      <c r="C399" t="s">
        <v>251</v>
      </c>
      <c r="D399" t="s">
        <v>26</v>
      </c>
      <c r="E399" t="s">
        <v>27</v>
      </c>
      <c r="F399" t="s">
        <v>51</v>
      </c>
      <c r="G399">
        <v>2</v>
      </c>
      <c r="H399">
        <v>163.71</v>
      </c>
      <c r="I399">
        <v>10</v>
      </c>
      <c r="J399" t="s">
        <v>16</v>
      </c>
    </row>
    <row r="400" spans="1:10" x14ac:dyDescent="0.25">
      <c r="A400" t="s">
        <v>308</v>
      </c>
      <c r="B400" t="s">
        <v>690</v>
      </c>
      <c r="C400" t="s">
        <v>132</v>
      </c>
      <c r="D400" t="s">
        <v>26</v>
      </c>
      <c r="E400" t="s">
        <v>33</v>
      </c>
      <c r="F400" t="s">
        <v>82</v>
      </c>
      <c r="G400">
        <v>3</v>
      </c>
      <c r="H400">
        <v>821.3</v>
      </c>
      <c r="I400">
        <v>5</v>
      </c>
      <c r="J400" t="s">
        <v>29</v>
      </c>
    </row>
    <row r="401" spans="1:10" x14ac:dyDescent="0.25">
      <c r="A401" t="s">
        <v>105</v>
      </c>
      <c r="B401" t="s">
        <v>691</v>
      </c>
      <c r="C401" t="s">
        <v>258</v>
      </c>
      <c r="D401" t="s">
        <v>41</v>
      </c>
      <c r="E401" t="s">
        <v>62</v>
      </c>
      <c r="F401" t="s">
        <v>63</v>
      </c>
      <c r="G401">
        <v>1</v>
      </c>
      <c r="H401">
        <v>782.47</v>
      </c>
      <c r="I401">
        <v>15</v>
      </c>
      <c r="J401" t="s">
        <v>98</v>
      </c>
    </row>
    <row r="402" spans="1:10" x14ac:dyDescent="0.25">
      <c r="A402" t="s">
        <v>650</v>
      </c>
      <c r="B402" t="s">
        <v>692</v>
      </c>
      <c r="C402" t="s">
        <v>168</v>
      </c>
      <c r="D402" t="s">
        <v>41</v>
      </c>
      <c r="E402" t="s">
        <v>14</v>
      </c>
      <c r="F402" t="s">
        <v>76</v>
      </c>
      <c r="G402">
        <v>5</v>
      </c>
      <c r="H402">
        <v>697.16</v>
      </c>
      <c r="I402">
        <v>5</v>
      </c>
      <c r="J402" t="s">
        <v>108</v>
      </c>
    </row>
    <row r="403" spans="1:10" x14ac:dyDescent="0.25">
      <c r="A403" t="s">
        <v>693</v>
      </c>
      <c r="B403" t="s">
        <v>694</v>
      </c>
      <c r="C403" t="s">
        <v>279</v>
      </c>
      <c r="D403" t="s">
        <v>41</v>
      </c>
      <c r="E403" t="s">
        <v>27</v>
      </c>
      <c r="F403" t="s">
        <v>28</v>
      </c>
      <c r="G403">
        <v>5</v>
      </c>
      <c r="H403">
        <v>1110.71</v>
      </c>
      <c r="I403">
        <v>10</v>
      </c>
      <c r="J403" t="s">
        <v>108</v>
      </c>
    </row>
    <row r="404" spans="1:10" x14ac:dyDescent="0.25">
      <c r="A404" t="s">
        <v>575</v>
      </c>
      <c r="B404" t="s">
        <v>695</v>
      </c>
      <c r="C404" t="s">
        <v>45</v>
      </c>
      <c r="D404" t="s">
        <v>26</v>
      </c>
      <c r="E404" t="s">
        <v>62</v>
      </c>
      <c r="F404" t="s">
        <v>92</v>
      </c>
      <c r="G404">
        <v>10</v>
      </c>
      <c r="H404">
        <v>1079.32</v>
      </c>
      <c r="I404">
        <v>0</v>
      </c>
      <c r="J404" t="s">
        <v>98</v>
      </c>
    </row>
    <row r="405" spans="1:10" x14ac:dyDescent="0.25">
      <c r="A405" t="s">
        <v>391</v>
      </c>
      <c r="B405" t="s">
        <v>696</v>
      </c>
      <c r="C405" t="s">
        <v>428</v>
      </c>
      <c r="D405" t="s">
        <v>26</v>
      </c>
      <c r="E405" t="s">
        <v>14</v>
      </c>
      <c r="F405" t="s">
        <v>76</v>
      </c>
      <c r="G405">
        <v>5</v>
      </c>
      <c r="H405">
        <v>774.79</v>
      </c>
      <c r="I405">
        <v>0</v>
      </c>
      <c r="J405" t="s">
        <v>16</v>
      </c>
    </row>
    <row r="406" spans="1:10" x14ac:dyDescent="0.25">
      <c r="A406" t="s">
        <v>565</v>
      </c>
      <c r="B406" t="s">
        <v>697</v>
      </c>
      <c r="C406" t="s">
        <v>275</v>
      </c>
      <c r="D406" t="s">
        <v>13</v>
      </c>
      <c r="E406" t="s">
        <v>27</v>
      </c>
      <c r="F406" t="s">
        <v>51</v>
      </c>
      <c r="G406">
        <v>5</v>
      </c>
      <c r="H406">
        <v>176.53</v>
      </c>
      <c r="I406">
        <v>5</v>
      </c>
      <c r="J406" t="s">
        <v>22</v>
      </c>
    </row>
    <row r="407" spans="1:10" x14ac:dyDescent="0.25">
      <c r="A407" t="s">
        <v>56</v>
      </c>
      <c r="B407" t="s">
        <v>698</v>
      </c>
      <c r="C407" t="s">
        <v>37</v>
      </c>
      <c r="D407" t="s">
        <v>41</v>
      </c>
      <c r="E407" t="s">
        <v>62</v>
      </c>
      <c r="F407" t="s">
        <v>79</v>
      </c>
      <c r="G407">
        <v>6</v>
      </c>
      <c r="H407">
        <v>714.04</v>
      </c>
      <c r="I407">
        <v>0</v>
      </c>
      <c r="J407" t="s">
        <v>47</v>
      </c>
    </row>
    <row r="408" spans="1:10" x14ac:dyDescent="0.25">
      <c r="A408" t="s">
        <v>316</v>
      </c>
      <c r="B408" t="s">
        <v>699</v>
      </c>
      <c r="C408" t="s">
        <v>239</v>
      </c>
      <c r="D408" t="s">
        <v>13</v>
      </c>
      <c r="E408" t="s">
        <v>33</v>
      </c>
      <c r="F408" t="s">
        <v>34</v>
      </c>
      <c r="G408">
        <v>2</v>
      </c>
      <c r="H408">
        <v>410.39</v>
      </c>
      <c r="I408">
        <v>0</v>
      </c>
      <c r="J408" t="s">
        <v>108</v>
      </c>
    </row>
    <row r="409" spans="1:10" x14ac:dyDescent="0.25">
      <c r="A409" t="s">
        <v>527</v>
      </c>
      <c r="B409" t="s">
        <v>700</v>
      </c>
      <c r="C409" t="s">
        <v>251</v>
      </c>
      <c r="D409" t="s">
        <v>13</v>
      </c>
      <c r="E409" t="s">
        <v>33</v>
      </c>
      <c r="F409" t="s">
        <v>46</v>
      </c>
      <c r="G409">
        <v>10</v>
      </c>
      <c r="H409">
        <v>376.78</v>
      </c>
      <c r="I409">
        <v>5</v>
      </c>
      <c r="J409" t="s">
        <v>108</v>
      </c>
    </row>
    <row r="410" spans="1:10" x14ac:dyDescent="0.25">
      <c r="A410" t="s">
        <v>171</v>
      </c>
      <c r="B410" t="s">
        <v>701</v>
      </c>
      <c r="C410" t="s">
        <v>25</v>
      </c>
      <c r="D410" t="s">
        <v>13</v>
      </c>
      <c r="E410" t="s">
        <v>14</v>
      </c>
      <c r="F410" t="s">
        <v>76</v>
      </c>
      <c r="G410">
        <v>6</v>
      </c>
      <c r="H410">
        <v>661.51</v>
      </c>
      <c r="I410">
        <v>10</v>
      </c>
      <c r="J410" t="s">
        <v>16</v>
      </c>
    </row>
    <row r="411" spans="1:10" x14ac:dyDescent="0.25">
      <c r="A411" t="s">
        <v>247</v>
      </c>
      <c r="B411" t="s">
        <v>702</v>
      </c>
      <c r="C411" t="s">
        <v>386</v>
      </c>
      <c r="D411" t="s">
        <v>20</v>
      </c>
      <c r="E411" t="s">
        <v>33</v>
      </c>
      <c r="F411" t="s">
        <v>82</v>
      </c>
      <c r="G411">
        <v>5</v>
      </c>
      <c r="H411">
        <v>592.24</v>
      </c>
      <c r="I411">
        <v>5</v>
      </c>
      <c r="J411" t="s">
        <v>16</v>
      </c>
    </row>
    <row r="412" spans="1:10" x14ac:dyDescent="0.25">
      <c r="A412" t="s">
        <v>377</v>
      </c>
      <c r="B412" t="s">
        <v>703</v>
      </c>
      <c r="C412" t="s">
        <v>254</v>
      </c>
      <c r="D412" t="s">
        <v>13</v>
      </c>
      <c r="E412" t="s">
        <v>62</v>
      </c>
      <c r="F412" t="s">
        <v>79</v>
      </c>
      <c r="G412">
        <v>2</v>
      </c>
      <c r="H412">
        <v>940.25</v>
      </c>
      <c r="I412">
        <v>0</v>
      </c>
      <c r="J412" t="s">
        <v>98</v>
      </c>
    </row>
    <row r="413" spans="1:10" x14ac:dyDescent="0.25">
      <c r="A413" t="s">
        <v>237</v>
      </c>
      <c r="B413" t="s">
        <v>704</v>
      </c>
      <c r="C413" t="s">
        <v>397</v>
      </c>
      <c r="D413" t="s">
        <v>20</v>
      </c>
      <c r="E413" t="s">
        <v>33</v>
      </c>
      <c r="F413" t="s">
        <v>46</v>
      </c>
      <c r="G413">
        <v>1</v>
      </c>
      <c r="H413">
        <v>29.62</v>
      </c>
      <c r="I413">
        <v>5</v>
      </c>
      <c r="J413" t="s">
        <v>29</v>
      </c>
    </row>
    <row r="414" spans="1:10" x14ac:dyDescent="0.25">
      <c r="A414" t="s">
        <v>115</v>
      </c>
      <c r="B414" t="s">
        <v>705</v>
      </c>
      <c r="C414" t="s">
        <v>503</v>
      </c>
      <c r="D414" t="s">
        <v>13</v>
      </c>
      <c r="E414" t="s">
        <v>33</v>
      </c>
      <c r="F414" t="s">
        <v>34</v>
      </c>
      <c r="G414">
        <v>10</v>
      </c>
      <c r="H414">
        <v>852.41</v>
      </c>
      <c r="I414">
        <v>15</v>
      </c>
      <c r="J414" t="s">
        <v>29</v>
      </c>
    </row>
    <row r="415" spans="1:10" x14ac:dyDescent="0.25">
      <c r="A415" t="s">
        <v>377</v>
      </c>
      <c r="B415" t="s">
        <v>706</v>
      </c>
      <c r="C415" t="s">
        <v>142</v>
      </c>
      <c r="D415" t="s">
        <v>13</v>
      </c>
      <c r="E415" t="s">
        <v>62</v>
      </c>
      <c r="F415" t="s">
        <v>73</v>
      </c>
      <c r="G415">
        <v>8</v>
      </c>
      <c r="H415">
        <v>1123</v>
      </c>
      <c r="I415">
        <v>5</v>
      </c>
      <c r="J415" t="s">
        <v>16</v>
      </c>
    </row>
    <row r="416" spans="1:10" x14ac:dyDescent="0.25">
      <c r="A416" t="s">
        <v>127</v>
      </c>
      <c r="B416" t="s">
        <v>707</v>
      </c>
      <c r="C416" t="s">
        <v>145</v>
      </c>
      <c r="D416" t="s">
        <v>13</v>
      </c>
      <c r="E416" t="s">
        <v>33</v>
      </c>
      <c r="F416" t="s">
        <v>82</v>
      </c>
      <c r="G416">
        <v>7</v>
      </c>
      <c r="H416">
        <v>468.77</v>
      </c>
      <c r="I416">
        <v>10</v>
      </c>
      <c r="J416" t="s">
        <v>29</v>
      </c>
    </row>
    <row r="417" spans="1:10" x14ac:dyDescent="0.25">
      <c r="A417" t="s">
        <v>273</v>
      </c>
      <c r="B417" t="s">
        <v>708</v>
      </c>
      <c r="C417" t="s">
        <v>170</v>
      </c>
      <c r="D417" t="s">
        <v>13</v>
      </c>
      <c r="E417" t="s">
        <v>62</v>
      </c>
      <c r="F417" t="s">
        <v>92</v>
      </c>
      <c r="G417">
        <v>5</v>
      </c>
      <c r="H417">
        <v>689.76</v>
      </c>
      <c r="I417">
        <v>10</v>
      </c>
      <c r="J417" t="s">
        <v>98</v>
      </c>
    </row>
    <row r="418" spans="1:10" x14ac:dyDescent="0.25">
      <c r="A418" t="s">
        <v>530</v>
      </c>
      <c r="B418" t="s">
        <v>709</v>
      </c>
      <c r="C418" t="s">
        <v>104</v>
      </c>
      <c r="D418" t="s">
        <v>41</v>
      </c>
      <c r="E418" t="s">
        <v>62</v>
      </c>
      <c r="F418" t="s">
        <v>92</v>
      </c>
      <c r="G418">
        <v>10</v>
      </c>
      <c r="H418">
        <v>251.25</v>
      </c>
      <c r="I418">
        <v>10</v>
      </c>
      <c r="J418" t="s">
        <v>47</v>
      </c>
    </row>
    <row r="419" spans="1:10" x14ac:dyDescent="0.25">
      <c r="A419" t="s">
        <v>598</v>
      </c>
      <c r="B419" t="s">
        <v>710</v>
      </c>
      <c r="C419" t="s">
        <v>289</v>
      </c>
      <c r="D419" t="s">
        <v>13</v>
      </c>
      <c r="E419" t="s">
        <v>14</v>
      </c>
      <c r="F419" t="s">
        <v>76</v>
      </c>
      <c r="G419">
        <v>10</v>
      </c>
      <c r="H419">
        <v>500.96</v>
      </c>
      <c r="I419">
        <v>5</v>
      </c>
      <c r="J419" t="s">
        <v>16</v>
      </c>
    </row>
    <row r="420" spans="1:10" x14ac:dyDescent="0.25">
      <c r="A420" t="s">
        <v>607</v>
      </c>
      <c r="B420" t="s">
        <v>711</v>
      </c>
      <c r="C420" t="s">
        <v>88</v>
      </c>
      <c r="D420" t="s">
        <v>13</v>
      </c>
      <c r="E420" t="s">
        <v>14</v>
      </c>
      <c r="F420" t="s">
        <v>21</v>
      </c>
      <c r="G420">
        <v>3</v>
      </c>
      <c r="H420">
        <v>574.25</v>
      </c>
      <c r="I420">
        <v>15</v>
      </c>
      <c r="J420" t="s">
        <v>22</v>
      </c>
    </row>
    <row r="421" spans="1:10" x14ac:dyDescent="0.25">
      <c r="A421" t="s">
        <v>138</v>
      </c>
      <c r="B421" t="s">
        <v>712</v>
      </c>
      <c r="C421" t="s">
        <v>145</v>
      </c>
      <c r="D421" t="s">
        <v>41</v>
      </c>
      <c r="E421" t="s">
        <v>62</v>
      </c>
      <c r="F421" t="s">
        <v>73</v>
      </c>
      <c r="G421">
        <v>3</v>
      </c>
      <c r="H421">
        <v>109.83</v>
      </c>
      <c r="I421">
        <v>10</v>
      </c>
      <c r="J421" t="s">
        <v>47</v>
      </c>
    </row>
    <row r="422" spans="1:10" x14ac:dyDescent="0.25">
      <c r="A422" t="s">
        <v>505</v>
      </c>
      <c r="B422" t="s">
        <v>713</v>
      </c>
      <c r="C422" t="s">
        <v>318</v>
      </c>
      <c r="D422" t="s">
        <v>26</v>
      </c>
      <c r="E422" t="s">
        <v>62</v>
      </c>
      <c r="F422" t="s">
        <v>73</v>
      </c>
      <c r="G422">
        <v>10</v>
      </c>
      <c r="H422">
        <v>616.21</v>
      </c>
      <c r="I422">
        <v>10</v>
      </c>
      <c r="J422" t="s">
        <v>108</v>
      </c>
    </row>
    <row r="423" spans="1:10" x14ac:dyDescent="0.25">
      <c r="A423" t="s">
        <v>197</v>
      </c>
      <c r="B423" t="s">
        <v>714</v>
      </c>
      <c r="C423" t="s">
        <v>158</v>
      </c>
      <c r="D423" t="s">
        <v>41</v>
      </c>
      <c r="E423" t="s">
        <v>27</v>
      </c>
      <c r="F423" t="s">
        <v>42</v>
      </c>
      <c r="G423">
        <v>4</v>
      </c>
      <c r="H423">
        <v>898</v>
      </c>
      <c r="I423">
        <v>0</v>
      </c>
      <c r="J423" t="s">
        <v>29</v>
      </c>
    </row>
    <row r="424" spans="1:10" x14ac:dyDescent="0.25">
      <c r="A424" t="s">
        <v>339</v>
      </c>
      <c r="B424" t="s">
        <v>715</v>
      </c>
      <c r="C424" t="s">
        <v>239</v>
      </c>
      <c r="D424" t="s">
        <v>20</v>
      </c>
      <c r="E424" t="s">
        <v>14</v>
      </c>
      <c r="F424" t="s">
        <v>15</v>
      </c>
      <c r="G424">
        <v>4</v>
      </c>
      <c r="H424">
        <v>70.5</v>
      </c>
      <c r="I424">
        <v>10</v>
      </c>
      <c r="J424" t="s">
        <v>16</v>
      </c>
    </row>
    <row r="425" spans="1:10" x14ac:dyDescent="0.25">
      <c r="A425" t="s">
        <v>122</v>
      </c>
      <c r="B425" t="s">
        <v>716</v>
      </c>
      <c r="C425" t="s">
        <v>170</v>
      </c>
      <c r="D425" t="s">
        <v>20</v>
      </c>
      <c r="E425" t="s">
        <v>14</v>
      </c>
      <c r="F425" t="s">
        <v>76</v>
      </c>
      <c r="G425">
        <v>6</v>
      </c>
      <c r="H425">
        <v>77.760000000000005</v>
      </c>
      <c r="I425">
        <v>15</v>
      </c>
      <c r="J425" t="s">
        <v>22</v>
      </c>
    </row>
    <row r="426" spans="1:10" x14ac:dyDescent="0.25">
      <c r="A426" t="s">
        <v>368</v>
      </c>
      <c r="B426" t="s">
        <v>717</v>
      </c>
      <c r="C426" t="s">
        <v>457</v>
      </c>
      <c r="D426" t="s">
        <v>13</v>
      </c>
      <c r="E426" t="s">
        <v>62</v>
      </c>
      <c r="F426" t="s">
        <v>79</v>
      </c>
      <c r="G426">
        <v>1</v>
      </c>
      <c r="H426">
        <v>439.88</v>
      </c>
      <c r="I426">
        <v>5</v>
      </c>
      <c r="J426" t="s">
        <v>108</v>
      </c>
    </row>
    <row r="427" spans="1:10" x14ac:dyDescent="0.25">
      <c r="A427" t="s">
        <v>35</v>
      </c>
      <c r="B427" t="s">
        <v>718</v>
      </c>
      <c r="C427" t="s">
        <v>69</v>
      </c>
      <c r="D427" t="s">
        <v>13</v>
      </c>
      <c r="E427" t="s">
        <v>14</v>
      </c>
      <c r="F427" t="s">
        <v>15</v>
      </c>
      <c r="G427">
        <v>7</v>
      </c>
      <c r="H427">
        <v>979.79</v>
      </c>
      <c r="I427">
        <v>10</v>
      </c>
      <c r="J427" t="s">
        <v>29</v>
      </c>
    </row>
    <row r="428" spans="1:10" x14ac:dyDescent="0.25">
      <c r="A428" t="s">
        <v>184</v>
      </c>
      <c r="B428" t="s">
        <v>719</v>
      </c>
      <c r="C428" t="s">
        <v>236</v>
      </c>
      <c r="D428" t="s">
        <v>20</v>
      </c>
      <c r="E428" t="s">
        <v>14</v>
      </c>
      <c r="F428" t="s">
        <v>21</v>
      </c>
      <c r="G428">
        <v>7</v>
      </c>
      <c r="H428">
        <v>376.46</v>
      </c>
      <c r="I428">
        <v>5</v>
      </c>
      <c r="J428" t="s">
        <v>98</v>
      </c>
    </row>
    <row r="429" spans="1:10" x14ac:dyDescent="0.25">
      <c r="A429" t="s">
        <v>159</v>
      </c>
      <c r="B429" t="s">
        <v>720</v>
      </c>
      <c r="C429" t="s">
        <v>75</v>
      </c>
      <c r="D429" t="s">
        <v>20</v>
      </c>
      <c r="E429" t="s">
        <v>27</v>
      </c>
      <c r="F429" t="s">
        <v>51</v>
      </c>
      <c r="G429">
        <v>7</v>
      </c>
      <c r="H429">
        <v>964.78</v>
      </c>
      <c r="I429">
        <v>0</v>
      </c>
      <c r="J429" t="s">
        <v>22</v>
      </c>
    </row>
    <row r="430" spans="1:10" x14ac:dyDescent="0.25">
      <c r="A430" t="s">
        <v>554</v>
      </c>
      <c r="B430" t="s">
        <v>721</v>
      </c>
      <c r="C430" t="s">
        <v>12</v>
      </c>
      <c r="D430" t="s">
        <v>26</v>
      </c>
      <c r="E430" t="s">
        <v>14</v>
      </c>
      <c r="F430" t="s">
        <v>21</v>
      </c>
      <c r="G430">
        <v>6</v>
      </c>
      <c r="H430">
        <v>271.23</v>
      </c>
      <c r="I430">
        <v>0</v>
      </c>
      <c r="J430" t="s">
        <v>29</v>
      </c>
    </row>
    <row r="431" spans="1:10" x14ac:dyDescent="0.25">
      <c r="A431" t="s">
        <v>722</v>
      </c>
      <c r="B431" t="s">
        <v>723</v>
      </c>
      <c r="C431" t="s">
        <v>503</v>
      </c>
      <c r="D431" t="s">
        <v>26</v>
      </c>
      <c r="E431" t="s">
        <v>62</v>
      </c>
      <c r="F431" t="s">
        <v>79</v>
      </c>
      <c r="G431">
        <v>3</v>
      </c>
      <c r="H431">
        <v>1192.1099999999999</v>
      </c>
      <c r="I431">
        <v>15</v>
      </c>
      <c r="J431" t="s">
        <v>22</v>
      </c>
    </row>
    <row r="432" spans="1:10" x14ac:dyDescent="0.25">
      <c r="A432" t="s">
        <v>208</v>
      </c>
      <c r="B432" t="s">
        <v>724</v>
      </c>
      <c r="C432" t="s">
        <v>117</v>
      </c>
      <c r="D432" t="s">
        <v>26</v>
      </c>
      <c r="E432" t="s">
        <v>14</v>
      </c>
      <c r="F432" t="s">
        <v>21</v>
      </c>
      <c r="G432">
        <v>2</v>
      </c>
      <c r="H432">
        <v>689.54</v>
      </c>
      <c r="I432">
        <v>5</v>
      </c>
      <c r="J432" t="s">
        <v>16</v>
      </c>
    </row>
    <row r="433" spans="1:10" x14ac:dyDescent="0.25">
      <c r="A433" t="s">
        <v>240</v>
      </c>
      <c r="B433" t="s">
        <v>725</v>
      </c>
      <c r="C433" t="s">
        <v>117</v>
      </c>
      <c r="D433" t="s">
        <v>26</v>
      </c>
      <c r="E433" t="s">
        <v>27</v>
      </c>
      <c r="F433" t="s">
        <v>28</v>
      </c>
      <c r="G433">
        <v>4</v>
      </c>
      <c r="H433">
        <v>1082.9000000000001</v>
      </c>
      <c r="I433">
        <v>15</v>
      </c>
      <c r="J433" t="s">
        <v>22</v>
      </c>
    </row>
    <row r="434" spans="1:10" x14ac:dyDescent="0.25">
      <c r="A434" t="s">
        <v>95</v>
      </c>
      <c r="B434" t="s">
        <v>726</v>
      </c>
      <c r="C434" t="s">
        <v>192</v>
      </c>
      <c r="D434" t="s">
        <v>20</v>
      </c>
      <c r="E434" t="s">
        <v>14</v>
      </c>
      <c r="F434" t="s">
        <v>76</v>
      </c>
      <c r="G434">
        <v>2</v>
      </c>
      <c r="H434">
        <v>1073.17</v>
      </c>
      <c r="I434">
        <v>5</v>
      </c>
      <c r="J434" t="s">
        <v>22</v>
      </c>
    </row>
    <row r="435" spans="1:10" x14ac:dyDescent="0.25">
      <c r="A435" t="s">
        <v>224</v>
      </c>
      <c r="B435" t="s">
        <v>727</v>
      </c>
      <c r="C435" t="s">
        <v>269</v>
      </c>
      <c r="D435" t="s">
        <v>20</v>
      </c>
      <c r="E435" t="s">
        <v>27</v>
      </c>
      <c r="F435" t="s">
        <v>42</v>
      </c>
      <c r="G435">
        <v>5</v>
      </c>
      <c r="H435">
        <v>554.66999999999996</v>
      </c>
      <c r="I435">
        <v>15</v>
      </c>
      <c r="J435" t="s">
        <v>29</v>
      </c>
    </row>
    <row r="436" spans="1:10" x14ac:dyDescent="0.25">
      <c r="A436" t="s">
        <v>441</v>
      </c>
      <c r="B436" t="s">
        <v>728</v>
      </c>
      <c r="C436" t="s">
        <v>414</v>
      </c>
      <c r="D436" t="s">
        <v>13</v>
      </c>
      <c r="E436" t="s">
        <v>62</v>
      </c>
      <c r="F436" t="s">
        <v>63</v>
      </c>
      <c r="G436">
        <v>10</v>
      </c>
      <c r="H436">
        <v>620.16999999999996</v>
      </c>
      <c r="I436">
        <v>15</v>
      </c>
      <c r="J436" t="s">
        <v>16</v>
      </c>
    </row>
    <row r="437" spans="1:10" x14ac:dyDescent="0.25">
      <c r="A437" t="s">
        <v>130</v>
      </c>
      <c r="B437" t="s">
        <v>729</v>
      </c>
      <c r="C437" t="s">
        <v>112</v>
      </c>
      <c r="D437" t="s">
        <v>20</v>
      </c>
      <c r="E437" t="s">
        <v>62</v>
      </c>
      <c r="F437" t="s">
        <v>79</v>
      </c>
      <c r="G437">
        <v>5</v>
      </c>
      <c r="H437">
        <v>992.8</v>
      </c>
      <c r="I437">
        <v>15</v>
      </c>
      <c r="J437" t="s">
        <v>98</v>
      </c>
    </row>
    <row r="438" spans="1:10" x14ac:dyDescent="0.25">
      <c r="A438" t="s">
        <v>730</v>
      </c>
      <c r="B438" t="s">
        <v>731</v>
      </c>
      <c r="C438" t="s">
        <v>318</v>
      </c>
      <c r="D438" t="s">
        <v>26</v>
      </c>
      <c r="E438" t="s">
        <v>33</v>
      </c>
      <c r="F438" t="s">
        <v>82</v>
      </c>
      <c r="G438">
        <v>1</v>
      </c>
      <c r="H438">
        <v>390.6</v>
      </c>
      <c r="I438">
        <v>0</v>
      </c>
      <c r="J438" t="s">
        <v>22</v>
      </c>
    </row>
    <row r="439" spans="1:10" x14ac:dyDescent="0.25">
      <c r="A439" t="s">
        <v>127</v>
      </c>
      <c r="B439" t="s">
        <v>732</v>
      </c>
      <c r="C439" t="s">
        <v>289</v>
      </c>
      <c r="D439" t="s">
        <v>26</v>
      </c>
      <c r="E439" t="s">
        <v>27</v>
      </c>
      <c r="F439" t="s">
        <v>51</v>
      </c>
      <c r="G439">
        <v>10</v>
      </c>
      <c r="H439">
        <v>335.25</v>
      </c>
      <c r="I439">
        <v>0</v>
      </c>
      <c r="J439" t="s">
        <v>22</v>
      </c>
    </row>
    <row r="440" spans="1:10" x14ac:dyDescent="0.25">
      <c r="A440" t="s">
        <v>190</v>
      </c>
      <c r="B440" t="s">
        <v>733</v>
      </c>
      <c r="C440" t="s">
        <v>352</v>
      </c>
      <c r="D440" t="s">
        <v>20</v>
      </c>
      <c r="E440" t="s">
        <v>14</v>
      </c>
      <c r="F440" t="s">
        <v>15</v>
      </c>
      <c r="G440">
        <v>10</v>
      </c>
      <c r="H440">
        <v>942.75</v>
      </c>
      <c r="I440">
        <v>15</v>
      </c>
      <c r="J440" t="s">
        <v>47</v>
      </c>
    </row>
    <row r="441" spans="1:10" x14ac:dyDescent="0.25">
      <c r="A441" t="s">
        <v>143</v>
      </c>
      <c r="B441" t="s">
        <v>734</v>
      </c>
      <c r="C441" t="s">
        <v>101</v>
      </c>
      <c r="D441" t="s">
        <v>20</v>
      </c>
      <c r="E441" t="s">
        <v>62</v>
      </c>
      <c r="F441" t="s">
        <v>73</v>
      </c>
      <c r="G441">
        <v>10</v>
      </c>
      <c r="H441">
        <v>389.47</v>
      </c>
      <c r="I441">
        <v>0</v>
      </c>
      <c r="J441" t="s">
        <v>22</v>
      </c>
    </row>
    <row r="442" spans="1:10" x14ac:dyDescent="0.25">
      <c r="A442" t="s">
        <v>219</v>
      </c>
      <c r="B442" t="s">
        <v>735</v>
      </c>
      <c r="C442" t="s">
        <v>129</v>
      </c>
      <c r="D442" t="s">
        <v>13</v>
      </c>
      <c r="E442" t="s">
        <v>33</v>
      </c>
      <c r="F442" t="s">
        <v>46</v>
      </c>
      <c r="G442">
        <v>6</v>
      </c>
      <c r="H442">
        <v>237.61</v>
      </c>
      <c r="I442">
        <v>0</v>
      </c>
      <c r="J442" t="s">
        <v>98</v>
      </c>
    </row>
    <row r="443" spans="1:10" x14ac:dyDescent="0.25">
      <c r="A443" t="s">
        <v>354</v>
      </c>
      <c r="B443" t="s">
        <v>736</v>
      </c>
      <c r="C443" t="s">
        <v>201</v>
      </c>
      <c r="D443" t="s">
        <v>13</v>
      </c>
      <c r="E443" t="s">
        <v>14</v>
      </c>
      <c r="F443" t="s">
        <v>21</v>
      </c>
      <c r="G443">
        <v>6</v>
      </c>
      <c r="H443">
        <v>524.63</v>
      </c>
      <c r="I443">
        <v>10</v>
      </c>
      <c r="J443" t="s">
        <v>108</v>
      </c>
    </row>
    <row r="444" spans="1:10" x14ac:dyDescent="0.25">
      <c r="A444" t="s">
        <v>80</v>
      </c>
      <c r="B444" t="s">
        <v>737</v>
      </c>
      <c r="C444" t="s">
        <v>448</v>
      </c>
      <c r="D444" t="s">
        <v>13</v>
      </c>
      <c r="E444" t="s">
        <v>33</v>
      </c>
      <c r="F444" t="s">
        <v>82</v>
      </c>
      <c r="G444">
        <v>3</v>
      </c>
      <c r="H444">
        <v>563.5</v>
      </c>
      <c r="I444">
        <v>5</v>
      </c>
      <c r="J444" t="s">
        <v>47</v>
      </c>
    </row>
    <row r="445" spans="1:10" x14ac:dyDescent="0.25">
      <c r="A445" t="s">
        <v>211</v>
      </c>
      <c r="B445" t="s">
        <v>738</v>
      </c>
      <c r="C445" t="s">
        <v>397</v>
      </c>
      <c r="D445" t="s">
        <v>13</v>
      </c>
      <c r="E445" t="s">
        <v>62</v>
      </c>
      <c r="F445" t="s">
        <v>92</v>
      </c>
      <c r="G445">
        <v>8</v>
      </c>
      <c r="H445">
        <v>853.56</v>
      </c>
      <c r="I445">
        <v>15</v>
      </c>
      <c r="J445" t="s">
        <v>22</v>
      </c>
    </row>
    <row r="446" spans="1:10" x14ac:dyDescent="0.25">
      <c r="A446" t="s">
        <v>512</v>
      </c>
      <c r="B446" t="s">
        <v>739</v>
      </c>
      <c r="C446" t="s">
        <v>314</v>
      </c>
      <c r="D446" t="s">
        <v>26</v>
      </c>
      <c r="E446" t="s">
        <v>33</v>
      </c>
      <c r="F446" t="s">
        <v>46</v>
      </c>
      <c r="G446">
        <v>9</v>
      </c>
      <c r="H446">
        <v>890.13</v>
      </c>
      <c r="I446">
        <v>10</v>
      </c>
      <c r="J446" t="s">
        <v>108</v>
      </c>
    </row>
    <row r="447" spans="1:10" x14ac:dyDescent="0.25">
      <c r="A447" t="s">
        <v>540</v>
      </c>
      <c r="B447" t="s">
        <v>740</v>
      </c>
      <c r="C447" t="s">
        <v>210</v>
      </c>
      <c r="D447" t="s">
        <v>26</v>
      </c>
      <c r="E447" t="s">
        <v>27</v>
      </c>
      <c r="F447" t="s">
        <v>51</v>
      </c>
      <c r="G447">
        <v>1</v>
      </c>
      <c r="H447">
        <v>1027.1199999999999</v>
      </c>
      <c r="I447">
        <v>0</v>
      </c>
      <c r="J447" t="s">
        <v>47</v>
      </c>
    </row>
    <row r="448" spans="1:10" x14ac:dyDescent="0.25">
      <c r="A448" t="s">
        <v>741</v>
      </c>
      <c r="B448" t="s">
        <v>742</v>
      </c>
      <c r="C448" t="s">
        <v>201</v>
      </c>
      <c r="D448" t="s">
        <v>13</v>
      </c>
      <c r="E448" t="s">
        <v>33</v>
      </c>
      <c r="F448" t="s">
        <v>34</v>
      </c>
      <c r="G448">
        <v>8</v>
      </c>
      <c r="H448">
        <v>575.24</v>
      </c>
      <c r="I448">
        <v>15</v>
      </c>
      <c r="J448" t="s">
        <v>29</v>
      </c>
    </row>
    <row r="449" spans="1:10" x14ac:dyDescent="0.25">
      <c r="A449" t="s">
        <v>582</v>
      </c>
      <c r="B449" t="s">
        <v>743</v>
      </c>
      <c r="C449" t="s">
        <v>476</v>
      </c>
      <c r="D449" t="s">
        <v>20</v>
      </c>
      <c r="E449" t="s">
        <v>62</v>
      </c>
      <c r="F449" t="s">
        <v>63</v>
      </c>
      <c r="G449">
        <v>1</v>
      </c>
      <c r="H449">
        <v>1002.5</v>
      </c>
      <c r="I449">
        <v>10</v>
      </c>
      <c r="J449" t="s">
        <v>98</v>
      </c>
    </row>
    <row r="450" spans="1:10" x14ac:dyDescent="0.25">
      <c r="A450" t="s">
        <v>582</v>
      </c>
      <c r="B450" t="s">
        <v>744</v>
      </c>
      <c r="C450" t="s">
        <v>333</v>
      </c>
      <c r="D450" t="s">
        <v>13</v>
      </c>
      <c r="E450" t="s">
        <v>62</v>
      </c>
      <c r="F450" t="s">
        <v>73</v>
      </c>
      <c r="G450">
        <v>10</v>
      </c>
      <c r="H450">
        <v>852.3</v>
      </c>
      <c r="I450">
        <v>10</v>
      </c>
      <c r="J450" t="s">
        <v>98</v>
      </c>
    </row>
    <row r="451" spans="1:10" x14ac:dyDescent="0.25">
      <c r="A451" t="s">
        <v>393</v>
      </c>
      <c r="B451" t="s">
        <v>745</v>
      </c>
      <c r="C451" t="s">
        <v>132</v>
      </c>
      <c r="D451" t="s">
        <v>13</v>
      </c>
      <c r="E451" t="s">
        <v>33</v>
      </c>
      <c r="F451" t="s">
        <v>46</v>
      </c>
      <c r="G451">
        <v>5</v>
      </c>
      <c r="H451">
        <v>1171.3800000000001</v>
      </c>
      <c r="I451">
        <v>15</v>
      </c>
      <c r="J451" t="s">
        <v>108</v>
      </c>
    </row>
    <row r="452" spans="1:10" x14ac:dyDescent="0.25">
      <c r="A452" t="s">
        <v>746</v>
      </c>
      <c r="B452" t="s">
        <v>747</v>
      </c>
      <c r="C452" t="s">
        <v>58</v>
      </c>
      <c r="D452" t="s">
        <v>20</v>
      </c>
      <c r="E452" t="s">
        <v>14</v>
      </c>
      <c r="F452" t="s">
        <v>21</v>
      </c>
      <c r="G452">
        <v>1</v>
      </c>
      <c r="H452">
        <v>285.45999999999998</v>
      </c>
      <c r="I452">
        <v>15</v>
      </c>
      <c r="J452" t="s">
        <v>16</v>
      </c>
    </row>
    <row r="453" spans="1:10" x14ac:dyDescent="0.25">
      <c r="A453" t="s">
        <v>393</v>
      </c>
      <c r="B453" t="s">
        <v>748</v>
      </c>
      <c r="C453" t="s">
        <v>382</v>
      </c>
      <c r="D453" t="s">
        <v>26</v>
      </c>
      <c r="E453" t="s">
        <v>62</v>
      </c>
      <c r="F453" t="s">
        <v>92</v>
      </c>
      <c r="G453">
        <v>8</v>
      </c>
      <c r="H453">
        <v>706.4</v>
      </c>
      <c r="I453">
        <v>15</v>
      </c>
      <c r="J453" t="s">
        <v>29</v>
      </c>
    </row>
    <row r="454" spans="1:10" x14ac:dyDescent="0.25">
      <c r="A454" t="s">
        <v>180</v>
      </c>
      <c r="B454" t="s">
        <v>749</v>
      </c>
      <c r="C454" t="s">
        <v>91</v>
      </c>
      <c r="D454" t="s">
        <v>13</v>
      </c>
      <c r="E454" t="s">
        <v>14</v>
      </c>
      <c r="F454" t="s">
        <v>21</v>
      </c>
      <c r="G454">
        <v>7</v>
      </c>
      <c r="H454">
        <v>565.63</v>
      </c>
      <c r="I454">
        <v>10</v>
      </c>
      <c r="J454" t="s">
        <v>98</v>
      </c>
    </row>
    <row r="455" spans="1:10" x14ac:dyDescent="0.25">
      <c r="A455" t="s">
        <v>424</v>
      </c>
      <c r="B455" t="s">
        <v>750</v>
      </c>
      <c r="C455" t="s">
        <v>61</v>
      </c>
      <c r="D455" t="s">
        <v>20</v>
      </c>
      <c r="E455" t="s">
        <v>14</v>
      </c>
      <c r="F455" t="s">
        <v>76</v>
      </c>
      <c r="G455">
        <v>9</v>
      </c>
      <c r="H455">
        <v>922.52</v>
      </c>
      <c r="I455">
        <v>0</v>
      </c>
      <c r="J455" t="s">
        <v>47</v>
      </c>
    </row>
    <row r="456" spans="1:10" x14ac:dyDescent="0.25">
      <c r="A456" t="s">
        <v>297</v>
      </c>
      <c r="B456" t="s">
        <v>751</v>
      </c>
      <c r="C456" t="s">
        <v>414</v>
      </c>
      <c r="D456" t="s">
        <v>41</v>
      </c>
      <c r="E456" t="s">
        <v>14</v>
      </c>
      <c r="F456" t="s">
        <v>21</v>
      </c>
      <c r="G456">
        <v>5</v>
      </c>
      <c r="H456">
        <v>364.96</v>
      </c>
      <c r="I456">
        <v>15</v>
      </c>
      <c r="J456" t="s">
        <v>47</v>
      </c>
    </row>
    <row r="457" spans="1:10" x14ac:dyDescent="0.25">
      <c r="A457" t="s">
        <v>507</v>
      </c>
      <c r="B457" t="s">
        <v>752</v>
      </c>
      <c r="C457" t="s">
        <v>455</v>
      </c>
      <c r="D457" t="s">
        <v>26</v>
      </c>
      <c r="E457" t="s">
        <v>14</v>
      </c>
      <c r="F457" t="s">
        <v>21</v>
      </c>
      <c r="G457">
        <v>6</v>
      </c>
      <c r="H457">
        <v>410.15</v>
      </c>
      <c r="I457">
        <v>5</v>
      </c>
      <c r="J457" t="s">
        <v>29</v>
      </c>
    </row>
    <row r="458" spans="1:10" x14ac:dyDescent="0.25">
      <c r="A458" t="s">
        <v>219</v>
      </c>
      <c r="B458" t="s">
        <v>753</v>
      </c>
      <c r="C458" t="s">
        <v>132</v>
      </c>
      <c r="D458" t="s">
        <v>41</v>
      </c>
      <c r="E458" t="s">
        <v>14</v>
      </c>
      <c r="F458" t="s">
        <v>15</v>
      </c>
      <c r="G458">
        <v>9</v>
      </c>
      <c r="H458">
        <v>750.04</v>
      </c>
      <c r="I458">
        <v>10</v>
      </c>
      <c r="J458" t="s">
        <v>16</v>
      </c>
    </row>
    <row r="459" spans="1:10" x14ac:dyDescent="0.25">
      <c r="A459" t="s">
        <v>754</v>
      </c>
      <c r="B459" t="s">
        <v>755</v>
      </c>
      <c r="C459" t="s">
        <v>210</v>
      </c>
      <c r="D459" t="s">
        <v>20</v>
      </c>
      <c r="E459" t="s">
        <v>33</v>
      </c>
      <c r="F459" t="s">
        <v>34</v>
      </c>
      <c r="G459">
        <v>5</v>
      </c>
      <c r="H459">
        <v>25.14</v>
      </c>
      <c r="I459">
        <v>5</v>
      </c>
      <c r="J459" t="s">
        <v>98</v>
      </c>
    </row>
    <row r="460" spans="1:10" x14ac:dyDescent="0.25">
      <c r="A460" t="s">
        <v>43</v>
      </c>
      <c r="B460" t="s">
        <v>756</v>
      </c>
      <c r="C460" t="s">
        <v>213</v>
      </c>
      <c r="D460" t="s">
        <v>41</v>
      </c>
      <c r="E460" t="s">
        <v>14</v>
      </c>
      <c r="F460" t="s">
        <v>21</v>
      </c>
      <c r="G460">
        <v>9</v>
      </c>
      <c r="H460">
        <v>475.96</v>
      </c>
      <c r="I460">
        <v>10</v>
      </c>
      <c r="J460" t="s">
        <v>98</v>
      </c>
    </row>
    <row r="461" spans="1:10" x14ac:dyDescent="0.25">
      <c r="A461" t="s">
        <v>465</v>
      </c>
      <c r="B461" t="s">
        <v>757</v>
      </c>
      <c r="C461" t="s">
        <v>422</v>
      </c>
      <c r="D461" t="s">
        <v>20</v>
      </c>
      <c r="E461" t="s">
        <v>27</v>
      </c>
      <c r="F461" t="s">
        <v>28</v>
      </c>
      <c r="G461">
        <v>5</v>
      </c>
      <c r="H461">
        <v>400.07</v>
      </c>
      <c r="I461">
        <v>5</v>
      </c>
      <c r="J461" t="s">
        <v>98</v>
      </c>
    </row>
    <row r="462" spans="1:10" x14ac:dyDescent="0.25">
      <c r="A462" t="s">
        <v>758</v>
      </c>
      <c r="B462" t="s">
        <v>759</v>
      </c>
      <c r="C462" t="s">
        <v>124</v>
      </c>
      <c r="D462" t="s">
        <v>20</v>
      </c>
      <c r="E462" t="s">
        <v>27</v>
      </c>
      <c r="F462" t="s">
        <v>28</v>
      </c>
      <c r="G462">
        <v>1</v>
      </c>
      <c r="H462">
        <v>547.61</v>
      </c>
      <c r="I462">
        <v>5</v>
      </c>
      <c r="J462" t="s">
        <v>108</v>
      </c>
    </row>
    <row r="463" spans="1:10" x14ac:dyDescent="0.25">
      <c r="A463" t="s">
        <v>411</v>
      </c>
      <c r="B463" t="s">
        <v>760</v>
      </c>
      <c r="C463" t="s">
        <v>12</v>
      </c>
      <c r="D463" t="s">
        <v>13</v>
      </c>
      <c r="E463" t="s">
        <v>27</v>
      </c>
      <c r="F463" t="s">
        <v>28</v>
      </c>
      <c r="G463">
        <v>8</v>
      </c>
      <c r="H463">
        <v>765.3</v>
      </c>
      <c r="I463">
        <v>15</v>
      </c>
      <c r="J463" t="s">
        <v>108</v>
      </c>
    </row>
    <row r="464" spans="1:10" x14ac:dyDescent="0.25">
      <c r="A464" t="s">
        <v>319</v>
      </c>
      <c r="B464" t="s">
        <v>761</v>
      </c>
      <c r="C464" t="s">
        <v>455</v>
      </c>
      <c r="D464" t="s">
        <v>26</v>
      </c>
      <c r="E464" t="s">
        <v>14</v>
      </c>
      <c r="F464" t="s">
        <v>21</v>
      </c>
      <c r="G464">
        <v>6</v>
      </c>
      <c r="H464">
        <v>894.97</v>
      </c>
      <c r="I464">
        <v>10</v>
      </c>
      <c r="J464" t="s">
        <v>29</v>
      </c>
    </row>
    <row r="465" spans="1:10" x14ac:dyDescent="0.25">
      <c r="A465" t="s">
        <v>446</v>
      </c>
      <c r="B465" t="s">
        <v>762</v>
      </c>
      <c r="C465" t="s">
        <v>117</v>
      </c>
      <c r="D465" t="s">
        <v>13</v>
      </c>
      <c r="E465" t="s">
        <v>62</v>
      </c>
      <c r="F465" t="s">
        <v>92</v>
      </c>
      <c r="G465">
        <v>8</v>
      </c>
      <c r="H465">
        <v>459.34</v>
      </c>
      <c r="I465">
        <v>0</v>
      </c>
      <c r="J465" t="s">
        <v>16</v>
      </c>
    </row>
    <row r="466" spans="1:10" x14ac:dyDescent="0.25">
      <c r="A466" t="s">
        <v>377</v>
      </c>
      <c r="B466" t="s">
        <v>763</v>
      </c>
      <c r="C466" t="s">
        <v>50</v>
      </c>
      <c r="D466" t="s">
        <v>26</v>
      </c>
      <c r="E466" t="s">
        <v>33</v>
      </c>
      <c r="F466" t="s">
        <v>82</v>
      </c>
      <c r="G466">
        <v>10</v>
      </c>
      <c r="H466">
        <v>412.46</v>
      </c>
      <c r="I466">
        <v>15</v>
      </c>
      <c r="J466" t="s">
        <v>98</v>
      </c>
    </row>
    <row r="467" spans="1:10" x14ac:dyDescent="0.25">
      <c r="A467" t="s">
        <v>266</v>
      </c>
      <c r="B467" t="s">
        <v>764</v>
      </c>
      <c r="C467" t="s">
        <v>370</v>
      </c>
      <c r="D467" t="s">
        <v>26</v>
      </c>
      <c r="E467" t="s">
        <v>14</v>
      </c>
      <c r="F467" t="s">
        <v>21</v>
      </c>
      <c r="G467">
        <v>8</v>
      </c>
      <c r="H467">
        <v>425.67</v>
      </c>
      <c r="I467">
        <v>15</v>
      </c>
      <c r="J467" t="s">
        <v>98</v>
      </c>
    </row>
    <row r="468" spans="1:10" x14ac:dyDescent="0.25">
      <c r="A468" t="s">
        <v>193</v>
      </c>
      <c r="B468" t="s">
        <v>765</v>
      </c>
      <c r="C468" t="s">
        <v>503</v>
      </c>
      <c r="D468" t="s">
        <v>26</v>
      </c>
      <c r="E468" t="s">
        <v>27</v>
      </c>
      <c r="F468" t="s">
        <v>42</v>
      </c>
      <c r="G468">
        <v>10</v>
      </c>
      <c r="H468">
        <v>891.91</v>
      </c>
      <c r="I468">
        <v>0</v>
      </c>
      <c r="J468" t="s">
        <v>16</v>
      </c>
    </row>
    <row r="469" spans="1:10" x14ac:dyDescent="0.25">
      <c r="A469" t="s">
        <v>368</v>
      </c>
      <c r="B469" t="s">
        <v>766</v>
      </c>
      <c r="C469" t="s">
        <v>272</v>
      </c>
      <c r="D469" t="s">
        <v>41</v>
      </c>
      <c r="E469" t="s">
        <v>14</v>
      </c>
      <c r="F469" t="s">
        <v>76</v>
      </c>
      <c r="G469">
        <v>3</v>
      </c>
      <c r="H469">
        <v>827.88</v>
      </c>
      <c r="I469">
        <v>15</v>
      </c>
      <c r="J469" t="s">
        <v>22</v>
      </c>
    </row>
    <row r="470" spans="1:10" x14ac:dyDescent="0.25">
      <c r="A470" t="s">
        <v>56</v>
      </c>
      <c r="B470" t="s">
        <v>767</v>
      </c>
      <c r="C470" t="s">
        <v>50</v>
      </c>
      <c r="D470" t="s">
        <v>20</v>
      </c>
      <c r="E470" t="s">
        <v>33</v>
      </c>
      <c r="F470" t="s">
        <v>46</v>
      </c>
      <c r="G470">
        <v>2</v>
      </c>
      <c r="H470">
        <v>186.76</v>
      </c>
      <c r="I470">
        <v>10</v>
      </c>
      <c r="J470" t="s">
        <v>22</v>
      </c>
    </row>
    <row r="471" spans="1:10" x14ac:dyDescent="0.25">
      <c r="A471" t="s">
        <v>321</v>
      </c>
      <c r="B471" t="s">
        <v>768</v>
      </c>
      <c r="C471" t="s">
        <v>236</v>
      </c>
      <c r="D471" t="s">
        <v>13</v>
      </c>
      <c r="E471" t="s">
        <v>27</v>
      </c>
      <c r="F471" t="s">
        <v>51</v>
      </c>
      <c r="G471">
        <v>1</v>
      </c>
      <c r="H471">
        <v>245.18</v>
      </c>
      <c r="I471">
        <v>0</v>
      </c>
      <c r="J471" t="s">
        <v>98</v>
      </c>
    </row>
    <row r="472" spans="1:10" x14ac:dyDescent="0.25">
      <c r="A472" t="s">
        <v>335</v>
      </c>
      <c r="B472" t="s">
        <v>769</v>
      </c>
      <c r="C472" t="s">
        <v>256</v>
      </c>
      <c r="D472" t="s">
        <v>13</v>
      </c>
      <c r="E472" t="s">
        <v>62</v>
      </c>
      <c r="F472" t="s">
        <v>92</v>
      </c>
      <c r="G472">
        <v>2</v>
      </c>
      <c r="H472">
        <v>490.5</v>
      </c>
      <c r="I472">
        <v>5</v>
      </c>
      <c r="J472" t="s">
        <v>22</v>
      </c>
    </row>
    <row r="473" spans="1:10" x14ac:dyDescent="0.25">
      <c r="A473" t="s">
        <v>770</v>
      </c>
      <c r="B473" t="s">
        <v>771</v>
      </c>
      <c r="C473" t="s">
        <v>129</v>
      </c>
      <c r="D473" t="s">
        <v>26</v>
      </c>
      <c r="E473" t="s">
        <v>33</v>
      </c>
      <c r="F473" t="s">
        <v>82</v>
      </c>
      <c r="G473">
        <v>3</v>
      </c>
      <c r="H473">
        <v>14.73</v>
      </c>
      <c r="I473">
        <v>15</v>
      </c>
      <c r="J473" t="s">
        <v>47</v>
      </c>
    </row>
    <row r="474" spans="1:10" x14ac:dyDescent="0.25">
      <c r="A474" t="s">
        <v>232</v>
      </c>
      <c r="B474" t="s">
        <v>772</v>
      </c>
      <c r="C474" t="s">
        <v>314</v>
      </c>
      <c r="D474" t="s">
        <v>20</v>
      </c>
      <c r="E474" t="s">
        <v>27</v>
      </c>
      <c r="F474" t="s">
        <v>28</v>
      </c>
      <c r="G474">
        <v>6</v>
      </c>
      <c r="H474">
        <v>564.51</v>
      </c>
      <c r="I474">
        <v>15</v>
      </c>
      <c r="J474" t="s">
        <v>22</v>
      </c>
    </row>
    <row r="475" spans="1:10" x14ac:dyDescent="0.25">
      <c r="A475" t="s">
        <v>115</v>
      </c>
      <c r="B475" t="s">
        <v>773</v>
      </c>
      <c r="C475" t="s">
        <v>40</v>
      </c>
      <c r="D475" t="s">
        <v>20</v>
      </c>
      <c r="E475" t="s">
        <v>62</v>
      </c>
      <c r="F475" t="s">
        <v>73</v>
      </c>
      <c r="G475">
        <v>7</v>
      </c>
      <c r="H475">
        <v>909.26</v>
      </c>
      <c r="I475">
        <v>0</v>
      </c>
      <c r="J475" t="s">
        <v>98</v>
      </c>
    </row>
    <row r="476" spans="1:10" x14ac:dyDescent="0.25">
      <c r="A476" t="s">
        <v>93</v>
      </c>
      <c r="B476" t="s">
        <v>774</v>
      </c>
      <c r="C476" t="s">
        <v>91</v>
      </c>
      <c r="D476" t="s">
        <v>13</v>
      </c>
      <c r="E476" t="s">
        <v>62</v>
      </c>
      <c r="F476" t="s">
        <v>92</v>
      </c>
      <c r="G476">
        <v>10</v>
      </c>
      <c r="H476">
        <v>803.98</v>
      </c>
      <c r="I476">
        <v>10</v>
      </c>
      <c r="J476" t="s">
        <v>16</v>
      </c>
    </row>
    <row r="477" spans="1:10" x14ac:dyDescent="0.25">
      <c r="A477" t="s">
        <v>118</v>
      </c>
      <c r="B477" t="s">
        <v>775</v>
      </c>
      <c r="C477" t="s">
        <v>356</v>
      </c>
      <c r="D477" t="s">
        <v>41</v>
      </c>
      <c r="E477" t="s">
        <v>14</v>
      </c>
      <c r="F477" t="s">
        <v>15</v>
      </c>
      <c r="G477">
        <v>9</v>
      </c>
      <c r="H477">
        <v>512.65</v>
      </c>
      <c r="I477">
        <v>15</v>
      </c>
      <c r="J477" t="s">
        <v>29</v>
      </c>
    </row>
    <row r="478" spans="1:10" x14ac:dyDescent="0.25">
      <c r="A478" t="s">
        <v>263</v>
      </c>
      <c r="B478" t="s">
        <v>776</v>
      </c>
      <c r="C478" t="s">
        <v>72</v>
      </c>
      <c r="D478" t="s">
        <v>26</v>
      </c>
      <c r="E478" t="s">
        <v>27</v>
      </c>
      <c r="F478" t="s">
        <v>51</v>
      </c>
      <c r="G478">
        <v>3</v>
      </c>
      <c r="H478">
        <v>87.83</v>
      </c>
      <c r="I478">
        <v>5</v>
      </c>
      <c r="J478" t="s">
        <v>22</v>
      </c>
    </row>
    <row r="479" spans="1:10" x14ac:dyDescent="0.25">
      <c r="A479" t="s">
        <v>777</v>
      </c>
      <c r="B479" t="s">
        <v>778</v>
      </c>
      <c r="C479" t="s">
        <v>352</v>
      </c>
      <c r="D479" t="s">
        <v>41</v>
      </c>
      <c r="E479" t="s">
        <v>62</v>
      </c>
      <c r="F479" t="s">
        <v>73</v>
      </c>
      <c r="G479">
        <v>6</v>
      </c>
      <c r="H479">
        <v>1095.1300000000001</v>
      </c>
      <c r="I479">
        <v>15</v>
      </c>
      <c r="J479" t="s">
        <v>47</v>
      </c>
    </row>
    <row r="480" spans="1:10" x14ac:dyDescent="0.25">
      <c r="A480" t="s">
        <v>30</v>
      </c>
      <c r="B480" t="s">
        <v>779</v>
      </c>
      <c r="C480" t="s">
        <v>236</v>
      </c>
      <c r="D480" t="s">
        <v>20</v>
      </c>
      <c r="E480" t="s">
        <v>62</v>
      </c>
      <c r="F480" t="s">
        <v>79</v>
      </c>
      <c r="G480">
        <v>8</v>
      </c>
      <c r="H480">
        <v>222.28</v>
      </c>
      <c r="I480">
        <v>0</v>
      </c>
      <c r="J480" t="s">
        <v>108</v>
      </c>
    </row>
    <row r="481" spans="1:10" x14ac:dyDescent="0.25">
      <c r="A481" t="s">
        <v>89</v>
      </c>
      <c r="B481" t="s">
        <v>780</v>
      </c>
      <c r="C481" t="s">
        <v>155</v>
      </c>
      <c r="D481" t="s">
        <v>26</v>
      </c>
      <c r="E481" t="s">
        <v>27</v>
      </c>
      <c r="F481" t="s">
        <v>51</v>
      </c>
      <c r="G481">
        <v>10</v>
      </c>
      <c r="H481">
        <v>555.42999999999995</v>
      </c>
      <c r="I481">
        <v>0</v>
      </c>
      <c r="J481" t="s">
        <v>98</v>
      </c>
    </row>
    <row r="482" spans="1:10" x14ac:dyDescent="0.25">
      <c r="A482" t="s">
        <v>554</v>
      </c>
      <c r="B482" t="s">
        <v>781</v>
      </c>
      <c r="C482" t="s">
        <v>201</v>
      </c>
      <c r="D482" t="s">
        <v>20</v>
      </c>
      <c r="E482" t="s">
        <v>14</v>
      </c>
      <c r="F482" t="s">
        <v>76</v>
      </c>
      <c r="G482">
        <v>7</v>
      </c>
      <c r="H482">
        <v>823.97</v>
      </c>
      <c r="I482">
        <v>0</v>
      </c>
      <c r="J482" t="s">
        <v>47</v>
      </c>
    </row>
    <row r="483" spans="1:10" x14ac:dyDescent="0.25">
      <c r="A483" t="s">
        <v>514</v>
      </c>
      <c r="B483" t="s">
        <v>782</v>
      </c>
      <c r="C483" t="s">
        <v>150</v>
      </c>
      <c r="D483" t="s">
        <v>41</v>
      </c>
      <c r="E483" t="s">
        <v>62</v>
      </c>
      <c r="F483" t="s">
        <v>92</v>
      </c>
      <c r="G483">
        <v>1</v>
      </c>
      <c r="H483">
        <v>201.67</v>
      </c>
      <c r="I483">
        <v>15</v>
      </c>
      <c r="J483" t="s">
        <v>29</v>
      </c>
    </row>
    <row r="484" spans="1:10" x14ac:dyDescent="0.25">
      <c r="A484" t="s">
        <v>368</v>
      </c>
      <c r="B484" t="s">
        <v>783</v>
      </c>
      <c r="C484" t="s">
        <v>346</v>
      </c>
      <c r="D484" t="s">
        <v>26</v>
      </c>
      <c r="E484" t="s">
        <v>14</v>
      </c>
      <c r="F484" t="s">
        <v>76</v>
      </c>
      <c r="G484">
        <v>5</v>
      </c>
      <c r="H484">
        <v>695.73</v>
      </c>
      <c r="I484">
        <v>15</v>
      </c>
      <c r="J484" t="s">
        <v>22</v>
      </c>
    </row>
    <row r="485" spans="1:10" x14ac:dyDescent="0.25">
      <c r="A485" t="s">
        <v>391</v>
      </c>
      <c r="B485" t="s">
        <v>784</v>
      </c>
      <c r="C485" t="s">
        <v>346</v>
      </c>
      <c r="D485" t="s">
        <v>20</v>
      </c>
      <c r="E485" t="s">
        <v>33</v>
      </c>
      <c r="F485" t="s">
        <v>46</v>
      </c>
      <c r="G485">
        <v>1</v>
      </c>
      <c r="H485">
        <v>950.23</v>
      </c>
      <c r="I485">
        <v>5</v>
      </c>
      <c r="J485" t="s">
        <v>22</v>
      </c>
    </row>
    <row r="486" spans="1:10" x14ac:dyDescent="0.25">
      <c r="A486" t="s">
        <v>118</v>
      </c>
      <c r="B486" t="s">
        <v>785</v>
      </c>
      <c r="C486" t="s">
        <v>272</v>
      </c>
      <c r="D486" t="s">
        <v>26</v>
      </c>
      <c r="E486" t="s">
        <v>27</v>
      </c>
      <c r="F486" t="s">
        <v>28</v>
      </c>
      <c r="G486">
        <v>5</v>
      </c>
      <c r="H486">
        <v>828.61</v>
      </c>
      <c r="I486">
        <v>5</v>
      </c>
      <c r="J486" t="s">
        <v>98</v>
      </c>
    </row>
    <row r="487" spans="1:10" x14ac:dyDescent="0.25">
      <c r="A487" t="s">
        <v>162</v>
      </c>
      <c r="B487" t="s">
        <v>786</v>
      </c>
      <c r="C487" t="s">
        <v>251</v>
      </c>
      <c r="D487" t="s">
        <v>26</v>
      </c>
      <c r="E487" t="s">
        <v>14</v>
      </c>
      <c r="F487" t="s">
        <v>21</v>
      </c>
      <c r="G487">
        <v>5</v>
      </c>
      <c r="H487">
        <v>787.5</v>
      </c>
      <c r="I487">
        <v>0</v>
      </c>
      <c r="J487" t="s">
        <v>16</v>
      </c>
    </row>
    <row r="488" spans="1:10" x14ac:dyDescent="0.25">
      <c r="A488" t="s">
        <v>43</v>
      </c>
      <c r="B488" t="s">
        <v>787</v>
      </c>
      <c r="C488" t="s">
        <v>132</v>
      </c>
      <c r="D488" t="s">
        <v>20</v>
      </c>
      <c r="E488" t="s">
        <v>14</v>
      </c>
      <c r="F488" t="s">
        <v>21</v>
      </c>
      <c r="G488">
        <v>7</v>
      </c>
      <c r="H488">
        <v>761.33</v>
      </c>
      <c r="I488">
        <v>15</v>
      </c>
      <c r="J488" t="s">
        <v>22</v>
      </c>
    </row>
    <row r="489" spans="1:10" x14ac:dyDescent="0.25">
      <c r="A489" t="s">
        <v>424</v>
      </c>
      <c r="B489" t="s">
        <v>788</v>
      </c>
      <c r="C489" t="s">
        <v>356</v>
      </c>
      <c r="D489" t="s">
        <v>41</v>
      </c>
      <c r="E489" t="s">
        <v>14</v>
      </c>
      <c r="F489" t="s">
        <v>15</v>
      </c>
      <c r="G489">
        <v>2</v>
      </c>
      <c r="H489">
        <v>847.55</v>
      </c>
      <c r="I489">
        <v>0</v>
      </c>
      <c r="J489" t="s">
        <v>98</v>
      </c>
    </row>
    <row r="490" spans="1:10" x14ac:dyDescent="0.25">
      <c r="A490" t="s">
        <v>377</v>
      </c>
      <c r="B490" t="s">
        <v>789</v>
      </c>
      <c r="C490" t="s">
        <v>155</v>
      </c>
      <c r="D490" t="s">
        <v>26</v>
      </c>
      <c r="E490" t="s">
        <v>33</v>
      </c>
      <c r="F490" t="s">
        <v>34</v>
      </c>
      <c r="G490">
        <v>7</v>
      </c>
      <c r="H490">
        <v>678.62</v>
      </c>
      <c r="I490">
        <v>15</v>
      </c>
      <c r="J490" t="s">
        <v>22</v>
      </c>
    </row>
    <row r="491" spans="1:10" x14ac:dyDescent="0.25">
      <c r="A491" t="s">
        <v>308</v>
      </c>
      <c r="B491" t="s">
        <v>790</v>
      </c>
      <c r="C491" t="s">
        <v>72</v>
      </c>
      <c r="D491" t="s">
        <v>20</v>
      </c>
      <c r="E491" t="s">
        <v>14</v>
      </c>
      <c r="F491" t="s">
        <v>15</v>
      </c>
      <c r="G491">
        <v>1</v>
      </c>
      <c r="H491">
        <v>1120.05</v>
      </c>
      <c r="I491">
        <v>0</v>
      </c>
      <c r="J491" t="s">
        <v>22</v>
      </c>
    </row>
    <row r="492" spans="1:10" x14ac:dyDescent="0.25">
      <c r="A492" t="s">
        <v>407</v>
      </c>
      <c r="B492" t="s">
        <v>791</v>
      </c>
      <c r="C492" t="s">
        <v>37</v>
      </c>
      <c r="D492" t="s">
        <v>13</v>
      </c>
      <c r="E492" t="s">
        <v>62</v>
      </c>
      <c r="F492" t="s">
        <v>63</v>
      </c>
      <c r="G492">
        <v>10</v>
      </c>
      <c r="H492">
        <v>386.86</v>
      </c>
      <c r="I492">
        <v>10</v>
      </c>
      <c r="J492" t="s">
        <v>22</v>
      </c>
    </row>
    <row r="493" spans="1:10" x14ac:dyDescent="0.25">
      <c r="A493" t="s">
        <v>477</v>
      </c>
      <c r="B493" t="s">
        <v>792</v>
      </c>
      <c r="C493" t="s">
        <v>132</v>
      </c>
      <c r="D493" t="s">
        <v>26</v>
      </c>
      <c r="E493" t="s">
        <v>14</v>
      </c>
      <c r="F493" t="s">
        <v>21</v>
      </c>
      <c r="G493">
        <v>9</v>
      </c>
      <c r="H493">
        <v>1023.26</v>
      </c>
      <c r="I493">
        <v>10</v>
      </c>
      <c r="J493" t="s">
        <v>29</v>
      </c>
    </row>
    <row r="494" spans="1:10" x14ac:dyDescent="0.25">
      <c r="A494" t="s">
        <v>102</v>
      </c>
      <c r="B494" t="s">
        <v>793</v>
      </c>
      <c r="C494" t="s">
        <v>91</v>
      </c>
      <c r="D494" t="s">
        <v>20</v>
      </c>
      <c r="E494" t="s">
        <v>33</v>
      </c>
      <c r="F494" t="s">
        <v>34</v>
      </c>
      <c r="G494">
        <v>7</v>
      </c>
      <c r="H494">
        <v>974.32</v>
      </c>
      <c r="I494">
        <v>5</v>
      </c>
      <c r="J494" t="s">
        <v>22</v>
      </c>
    </row>
    <row r="495" spans="1:10" x14ac:dyDescent="0.25">
      <c r="A495" t="s">
        <v>56</v>
      </c>
      <c r="B495" t="s">
        <v>794</v>
      </c>
      <c r="C495" t="s">
        <v>269</v>
      </c>
      <c r="D495" t="s">
        <v>13</v>
      </c>
      <c r="E495" t="s">
        <v>62</v>
      </c>
      <c r="F495" t="s">
        <v>92</v>
      </c>
      <c r="G495">
        <v>1</v>
      </c>
      <c r="H495">
        <v>1092.69</v>
      </c>
      <c r="I495">
        <v>0</v>
      </c>
      <c r="J495" t="s">
        <v>22</v>
      </c>
    </row>
    <row r="496" spans="1:10" x14ac:dyDescent="0.25">
      <c r="A496" t="s">
        <v>80</v>
      </c>
      <c r="B496" t="s">
        <v>795</v>
      </c>
      <c r="C496" t="s">
        <v>352</v>
      </c>
      <c r="D496" t="s">
        <v>26</v>
      </c>
      <c r="E496" t="s">
        <v>62</v>
      </c>
      <c r="F496" t="s">
        <v>92</v>
      </c>
      <c r="G496">
        <v>9</v>
      </c>
      <c r="H496">
        <v>84.55</v>
      </c>
      <c r="I496">
        <v>15</v>
      </c>
      <c r="J496" t="s">
        <v>16</v>
      </c>
    </row>
    <row r="497" spans="1:10" x14ac:dyDescent="0.25">
      <c r="A497" t="s">
        <v>417</v>
      </c>
      <c r="B497" t="s">
        <v>796</v>
      </c>
      <c r="C497" t="s">
        <v>124</v>
      </c>
      <c r="D497" t="s">
        <v>20</v>
      </c>
      <c r="E497" t="s">
        <v>27</v>
      </c>
      <c r="F497" t="s">
        <v>42</v>
      </c>
      <c r="G497">
        <v>9</v>
      </c>
      <c r="H497">
        <v>770.37</v>
      </c>
      <c r="I497">
        <v>10</v>
      </c>
      <c r="J497" t="s">
        <v>22</v>
      </c>
    </row>
    <row r="498" spans="1:10" x14ac:dyDescent="0.25">
      <c r="A498" t="s">
        <v>125</v>
      </c>
      <c r="B498" t="s">
        <v>797</v>
      </c>
      <c r="C498" t="s">
        <v>142</v>
      </c>
      <c r="D498" t="s">
        <v>20</v>
      </c>
      <c r="E498" t="s">
        <v>14</v>
      </c>
      <c r="F498" t="s">
        <v>76</v>
      </c>
      <c r="G498">
        <v>4</v>
      </c>
      <c r="H498">
        <v>1037.73</v>
      </c>
      <c r="I498">
        <v>5</v>
      </c>
      <c r="J498" t="s">
        <v>47</v>
      </c>
    </row>
    <row r="499" spans="1:10" x14ac:dyDescent="0.25">
      <c r="A499" t="s">
        <v>83</v>
      </c>
      <c r="B499" t="s">
        <v>798</v>
      </c>
      <c r="C499" t="s">
        <v>269</v>
      </c>
      <c r="D499" t="s">
        <v>41</v>
      </c>
      <c r="E499" t="s">
        <v>27</v>
      </c>
      <c r="F499" t="s">
        <v>51</v>
      </c>
      <c r="G499">
        <v>5</v>
      </c>
      <c r="H499">
        <v>1150.5899999999999</v>
      </c>
      <c r="I499">
        <v>5</v>
      </c>
      <c r="J499" t="s">
        <v>29</v>
      </c>
    </row>
    <row r="500" spans="1:10" x14ac:dyDescent="0.25">
      <c r="A500" t="s">
        <v>133</v>
      </c>
      <c r="B500" t="s">
        <v>799</v>
      </c>
      <c r="C500" t="s">
        <v>124</v>
      </c>
      <c r="D500" t="s">
        <v>20</v>
      </c>
      <c r="E500" t="s">
        <v>33</v>
      </c>
      <c r="F500" t="s">
        <v>34</v>
      </c>
      <c r="G500">
        <v>7</v>
      </c>
      <c r="H500">
        <v>1057.8900000000001</v>
      </c>
      <c r="I500">
        <v>15</v>
      </c>
      <c r="J500" t="s">
        <v>22</v>
      </c>
    </row>
    <row r="501" spans="1:10" x14ac:dyDescent="0.25">
      <c r="A501" t="s">
        <v>43</v>
      </c>
      <c r="B501" t="s">
        <v>800</v>
      </c>
      <c r="C501" t="s">
        <v>135</v>
      </c>
      <c r="D501" t="s">
        <v>20</v>
      </c>
      <c r="E501" t="s">
        <v>27</v>
      </c>
      <c r="F501" t="s">
        <v>42</v>
      </c>
      <c r="G501">
        <v>5</v>
      </c>
      <c r="H501">
        <v>394.09</v>
      </c>
      <c r="I501">
        <v>15</v>
      </c>
      <c r="J501" t="s">
        <v>98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1"/>
  <sheetViews>
    <sheetView topLeftCell="A2" workbookViewId="0">
      <selection activeCell="A3" sqref="A2:A501"/>
    </sheetView>
  </sheetViews>
  <sheetFormatPr defaultRowHeight="15" x14ac:dyDescent="0.25"/>
  <cols>
    <col min="1" max="1" width="12.85546875" customWidth="1"/>
    <col min="2" max="2" width="10.5703125" customWidth="1"/>
    <col min="3" max="3" width="17.42578125" customWidth="1"/>
    <col min="4" max="4" width="9.28515625" customWidth="1"/>
    <col min="5" max="5" width="18.28515625" customWidth="1"/>
    <col min="6" max="6" width="10" customWidth="1"/>
    <col min="7" max="7" width="10.85546875" customWidth="1"/>
    <col min="8" max="8" width="11.85546875" customWidth="1"/>
    <col min="9" max="9" width="14.28515625" customWidth="1"/>
    <col min="10" max="10" width="13.85546875" customWidth="1"/>
  </cols>
  <sheetData>
    <row r="1" spans="1:11" x14ac:dyDescent="0.25">
      <c r="A1" t="s">
        <v>0</v>
      </c>
      <c r="B1" t="s">
        <v>1</v>
      </c>
      <c r="C1" t="s">
        <v>2</v>
      </c>
      <c r="D1" t="s">
        <v>3</v>
      </c>
      <c r="E1" t="s">
        <v>4</v>
      </c>
      <c r="F1" t="s">
        <v>5</v>
      </c>
      <c r="G1" t="s">
        <v>6</v>
      </c>
      <c r="H1" t="s">
        <v>7</v>
      </c>
      <c r="I1" t="s">
        <v>8</v>
      </c>
      <c r="J1" t="s">
        <v>9</v>
      </c>
      <c r="K1" t="s">
        <v>801</v>
      </c>
    </row>
    <row r="2" spans="1:11" x14ac:dyDescent="0.25">
      <c r="A2" s="6">
        <v>46222</v>
      </c>
      <c r="B2" t="s">
        <v>11</v>
      </c>
      <c r="C2" t="s">
        <v>12</v>
      </c>
      <c r="D2" t="s">
        <v>13</v>
      </c>
      <c r="E2" t="s">
        <v>14</v>
      </c>
      <c r="F2" t="s">
        <v>15</v>
      </c>
      <c r="G2">
        <v>2</v>
      </c>
      <c r="H2">
        <v>406.33</v>
      </c>
      <c r="I2">
        <v>15</v>
      </c>
      <c r="J2" t="s">
        <v>16</v>
      </c>
      <c r="K2">
        <f>SalesTable[[#This Row],[Quantity]]*SalesTable[[#This Row],[Unit Price]]*(1-SalesTable[[#This Row],[Discount (%)]]/100)</f>
        <v>690.76099999999997</v>
      </c>
    </row>
    <row r="3" spans="1:11" x14ac:dyDescent="0.25">
      <c r="A3" s="6">
        <v>46079</v>
      </c>
      <c r="B3" t="s">
        <v>18</v>
      </c>
      <c r="C3" t="s">
        <v>19</v>
      </c>
      <c r="D3" t="s">
        <v>20</v>
      </c>
      <c r="E3" t="s">
        <v>14</v>
      </c>
      <c r="F3" t="s">
        <v>21</v>
      </c>
      <c r="G3">
        <v>2</v>
      </c>
      <c r="H3">
        <v>223.08</v>
      </c>
      <c r="I3">
        <v>5</v>
      </c>
      <c r="J3" t="s">
        <v>22</v>
      </c>
      <c r="K3">
        <f>SalesTable[[#This Row],[Quantity]]*SalesTable[[#This Row],[Unit Price]]*(1-SalesTable[[#This Row],[Discount (%)]]/100)</f>
        <v>423.85200000000003</v>
      </c>
    </row>
    <row r="4" spans="1:11" x14ac:dyDescent="0.25">
      <c r="A4" s="6">
        <v>46102</v>
      </c>
      <c r="B4" t="s">
        <v>24</v>
      </c>
      <c r="C4" t="s">
        <v>25</v>
      </c>
      <c r="D4" t="s">
        <v>26</v>
      </c>
      <c r="E4" t="s">
        <v>27</v>
      </c>
      <c r="F4" t="s">
        <v>28</v>
      </c>
      <c r="G4">
        <v>10</v>
      </c>
      <c r="H4">
        <v>569.66999999999996</v>
      </c>
      <c r="I4">
        <v>0</v>
      </c>
      <c r="J4" t="s">
        <v>29</v>
      </c>
      <c r="K4">
        <f>SalesTable[[#This Row],[Quantity]]*SalesTable[[#This Row],[Unit Price]]*(1-SalesTable[[#This Row],[Discount (%)]]/100)</f>
        <v>5696.7</v>
      </c>
    </row>
    <row r="5" spans="1:11" x14ac:dyDescent="0.25">
      <c r="A5" s="6">
        <v>46112</v>
      </c>
      <c r="B5" t="s">
        <v>31</v>
      </c>
      <c r="C5" t="s">
        <v>32</v>
      </c>
      <c r="D5" t="s">
        <v>13</v>
      </c>
      <c r="E5" t="s">
        <v>33</v>
      </c>
      <c r="F5" t="s">
        <v>34</v>
      </c>
      <c r="G5">
        <v>1</v>
      </c>
      <c r="H5">
        <v>1145.42</v>
      </c>
      <c r="I5">
        <v>0</v>
      </c>
      <c r="J5" t="s">
        <v>16</v>
      </c>
      <c r="K5">
        <f>SalesTable[[#This Row],[Quantity]]*SalesTable[[#This Row],[Unit Price]]*(1-SalesTable[[#This Row],[Discount (%)]]/100)</f>
        <v>1145.42</v>
      </c>
    </row>
    <row r="6" spans="1:11" x14ac:dyDescent="0.25">
      <c r="A6" s="6">
        <v>46099</v>
      </c>
      <c r="B6" t="s">
        <v>36</v>
      </c>
      <c r="C6" t="s">
        <v>37</v>
      </c>
      <c r="D6" t="s">
        <v>26</v>
      </c>
      <c r="E6" t="s">
        <v>27</v>
      </c>
      <c r="F6" t="s">
        <v>28</v>
      </c>
      <c r="G6">
        <v>8</v>
      </c>
      <c r="H6">
        <v>683.28</v>
      </c>
      <c r="I6">
        <v>5</v>
      </c>
      <c r="J6" t="s">
        <v>16</v>
      </c>
      <c r="K6">
        <f>SalesTable[[#This Row],[Quantity]]*SalesTable[[#This Row],[Unit Price]]*(1-SalesTable[[#This Row],[Discount (%)]]/100)</f>
        <v>5192.9279999999999</v>
      </c>
    </row>
    <row r="7" spans="1:11" x14ac:dyDescent="0.25">
      <c r="A7" s="6">
        <v>46192</v>
      </c>
      <c r="B7" t="s">
        <v>39</v>
      </c>
      <c r="C7" t="s">
        <v>40</v>
      </c>
      <c r="D7" t="s">
        <v>41</v>
      </c>
      <c r="E7" t="s">
        <v>27</v>
      </c>
      <c r="F7" t="s">
        <v>42</v>
      </c>
      <c r="G7">
        <v>8</v>
      </c>
      <c r="H7">
        <v>1146</v>
      </c>
      <c r="I7">
        <v>15</v>
      </c>
      <c r="J7" t="s">
        <v>22</v>
      </c>
      <c r="K7">
        <f>SalesTable[[#This Row],[Quantity]]*SalesTable[[#This Row],[Unit Price]]*(1-SalesTable[[#This Row],[Discount (%)]]/100)</f>
        <v>7792.8</v>
      </c>
    </row>
    <row r="8" spans="1:11" x14ac:dyDescent="0.25">
      <c r="A8" s="6">
        <v>46088</v>
      </c>
      <c r="B8" t="s">
        <v>44</v>
      </c>
      <c r="C8" t="s">
        <v>45</v>
      </c>
      <c r="D8" t="s">
        <v>41</v>
      </c>
      <c r="E8" t="s">
        <v>33</v>
      </c>
      <c r="F8" t="s">
        <v>46</v>
      </c>
      <c r="G8">
        <v>4</v>
      </c>
      <c r="H8">
        <v>510.82</v>
      </c>
      <c r="I8">
        <v>0</v>
      </c>
      <c r="J8" t="s">
        <v>47</v>
      </c>
      <c r="K8">
        <f>SalesTable[[#This Row],[Quantity]]*SalesTable[[#This Row],[Unit Price]]*(1-SalesTable[[#This Row],[Discount (%)]]/100)</f>
        <v>2043.28</v>
      </c>
    </row>
    <row r="9" spans="1:11" x14ac:dyDescent="0.25">
      <c r="A9" s="6">
        <v>46054</v>
      </c>
      <c r="B9" t="s">
        <v>49</v>
      </c>
      <c r="C9" t="s">
        <v>50</v>
      </c>
      <c r="D9" t="s">
        <v>41</v>
      </c>
      <c r="E9" t="s">
        <v>27</v>
      </c>
      <c r="F9" t="s">
        <v>51</v>
      </c>
      <c r="G9">
        <v>10</v>
      </c>
      <c r="H9">
        <v>671.35</v>
      </c>
      <c r="I9">
        <v>10</v>
      </c>
      <c r="J9" t="s">
        <v>47</v>
      </c>
      <c r="K9">
        <f>SalesTable[[#This Row],[Quantity]]*SalesTable[[#This Row],[Unit Price]]*(1-SalesTable[[#This Row],[Discount (%)]]/100)</f>
        <v>6042.1500000000005</v>
      </c>
    </row>
    <row r="10" spans="1:11" x14ac:dyDescent="0.25">
      <c r="A10" s="6">
        <v>46119</v>
      </c>
      <c r="B10" t="s">
        <v>53</v>
      </c>
      <c r="C10" t="s">
        <v>40</v>
      </c>
      <c r="D10" t="s">
        <v>20</v>
      </c>
      <c r="E10" t="s">
        <v>27</v>
      </c>
      <c r="F10" t="s">
        <v>51</v>
      </c>
      <c r="G10">
        <v>2</v>
      </c>
      <c r="H10">
        <v>975.92</v>
      </c>
      <c r="I10">
        <v>10</v>
      </c>
      <c r="J10" t="s">
        <v>16</v>
      </c>
      <c r="K10">
        <f>SalesTable[[#This Row],[Quantity]]*SalesTable[[#This Row],[Unit Price]]*(1-SalesTable[[#This Row],[Discount (%)]]/100)</f>
        <v>1756.6559999999999</v>
      </c>
    </row>
    <row r="11" spans="1:11" x14ac:dyDescent="0.25">
      <c r="A11" s="6">
        <v>46201</v>
      </c>
      <c r="B11" t="s">
        <v>55</v>
      </c>
      <c r="C11" t="s">
        <v>19</v>
      </c>
      <c r="D11" t="s">
        <v>41</v>
      </c>
      <c r="E11" t="s">
        <v>14</v>
      </c>
      <c r="F11" t="s">
        <v>15</v>
      </c>
      <c r="G11">
        <v>5</v>
      </c>
      <c r="H11">
        <v>738.08</v>
      </c>
      <c r="I11">
        <v>5</v>
      </c>
      <c r="J11" t="s">
        <v>16</v>
      </c>
      <c r="K11">
        <f>SalesTable[[#This Row],[Quantity]]*SalesTable[[#This Row],[Unit Price]]*(1-SalesTable[[#This Row],[Discount (%)]]/100)</f>
        <v>3505.88</v>
      </c>
    </row>
    <row r="12" spans="1:11" x14ac:dyDescent="0.25">
      <c r="A12" s="6">
        <v>46221</v>
      </c>
      <c r="B12" t="s">
        <v>57</v>
      </c>
      <c r="C12" t="s">
        <v>58</v>
      </c>
      <c r="D12" t="s">
        <v>41</v>
      </c>
      <c r="E12" t="s">
        <v>14</v>
      </c>
      <c r="F12" t="s">
        <v>21</v>
      </c>
      <c r="G12">
        <v>3</v>
      </c>
      <c r="H12">
        <v>1100.57</v>
      </c>
      <c r="I12">
        <v>5</v>
      </c>
      <c r="J12" t="s">
        <v>22</v>
      </c>
      <c r="K12">
        <f>SalesTable[[#This Row],[Quantity]]*SalesTable[[#This Row],[Unit Price]]*(1-SalesTable[[#This Row],[Discount (%)]]/100)</f>
        <v>3136.6244999999999</v>
      </c>
    </row>
    <row r="13" spans="1:11" x14ac:dyDescent="0.25">
      <c r="A13" s="6">
        <v>46092</v>
      </c>
      <c r="B13" t="s">
        <v>60</v>
      </c>
      <c r="C13" t="s">
        <v>61</v>
      </c>
      <c r="D13" t="s">
        <v>41</v>
      </c>
      <c r="E13" t="s">
        <v>62</v>
      </c>
      <c r="F13" t="s">
        <v>63</v>
      </c>
      <c r="G13">
        <v>5</v>
      </c>
      <c r="H13">
        <v>652.66999999999996</v>
      </c>
      <c r="I13">
        <v>10</v>
      </c>
      <c r="J13" t="s">
        <v>47</v>
      </c>
      <c r="K13">
        <f>SalesTable[[#This Row],[Quantity]]*SalesTable[[#This Row],[Unit Price]]*(1-SalesTable[[#This Row],[Discount (%)]]/100)</f>
        <v>2937.0149999999999</v>
      </c>
    </row>
    <row r="14" spans="1:11" x14ac:dyDescent="0.25">
      <c r="A14" s="6">
        <v>46128</v>
      </c>
      <c r="B14" t="s">
        <v>65</v>
      </c>
      <c r="C14" t="s">
        <v>66</v>
      </c>
      <c r="D14" t="s">
        <v>13</v>
      </c>
      <c r="E14" t="s">
        <v>33</v>
      </c>
      <c r="F14" t="s">
        <v>34</v>
      </c>
      <c r="G14">
        <v>9</v>
      </c>
      <c r="H14">
        <v>426.9</v>
      </c>
      <c r="I14">
        <v>0</v>
      </c>
      <c r="J14" t="s">
        <v>47</v>
      </c>
      <c r="K14">
        <f>SalesTable[[#This Row],[Quantity]]*SalesTable[[#This Row],[Unit Price]]*(1-SalesTable[[#This Row],[Discount (%)]]/100)</f>
        <v>3842.1</v>
      </c>
    </row>
    <row r="15" spans="1:11" x14ac:dyDescent="0.25">
      <c r="A15" s="6">
        <v>46189</v>
      </c>
      <c r="B15" t="s">
        <v>68</v>
      </c>
      <c r="C15" t="s">
        <v>69</v>
      </c>
      <c r="D15" t="s">
        <v>13</v>
      </c>
      <c r="E15" t="s">
        <v>27</v>
      </c>
      <c r="F15" t="s">
        <v>51</v>
      </c>
      <c r="G15">
        <v>4</v>
      </c>
      <c r="H15">
        <v>325.31</v>
      </c>
      <c r="I15">
        <v>15</v>
      </c>
      <c r="J15" t="s">
        <v>16</v>
      </c>
      <c r="K15">
        <f>SalesTable[[#This Row],[Quantity]]*SalesTable[[#This Row],[Unit Price]]*(1-SalesTable[[#This Row],[Discount (%)]]/100)</f>
        <v>1106.0540000000001</v>
      </c>
    </row>
    <row r="16" spans="1:11" x14ac:dyDescent="0.25">
      <c r="A16" s="6">
        <v>46073</v>
      </c>
      <c r="B16" t="s">
        <v>71</v>
      </c>
      <c r="C16" t="s">
        <v>72</v>
      </c>
      <c r="D16" t="s">
        <v>20</v>
      </c>
      <c r="E16" t="s">
        <v>62</v>
      </c>
      <c r="F16" t="s">
        <v>73</v>
      </c>
      <c r="G16">
        <v>8</v>
      </c>
      <c r="H16">
        <v>619.88</v>
      </c>
      <c r="I16">
        <v>15</v>
      </c>
      <c r="J16" t="s">
        <v>29</v>
      </c>
      <c r="K16">
        <f>SalesTable[[#This Row],[Quantity]]*SalesTable[[#This Row],[Unit Price]]*(1-SalesTable[[#This Row],[Discount (%)]]/100)</f>
        <v>4215.1840000000002</v>
      </c>
    </row>
    <row r="17" spans="1:11" x14ac:dyDescent="0.25">
      <c r="A17" s="6">
        <v>46079</v>
      </c>
      <c r="B17" t="s">
        <v>74</v>
      </c>
      <c r="C17" t="s">
        <v>75</v>
      </c>
      <c r="D17" t="s">
        <v>41</v>
      </c>
      <c r="E17" t="s">
        <v>14</v>
      </c>
      <c r="F17" t="s">
        <v>76</v>
      </c>
      <c r="G17">
        <v>5</v>
      </c>
      <c r="H17">
        <v>812.2</v>
      </c>
      <c r="I17">
        <v>15</v>
      </c>
      <c r="J17" t="s">
        <v>16</v>
      </c>
      <c r="K17">
        <f>SalesTable[[#This Row],[Quantity]]*SalesTable[[#This Row],[Unit Price]]*(1-SalesTable[[#This Row],[Discount (%)]]/100)</f>
        <v>3451.85</v>
      </c>
    </row>
    <row r="18" spans="1:11" x14ac:dyDescent="0.25">
      <c r="A18" s="6">
        <v>46052</v>
      </c>
      <c r="B18" t="s">
        <v>78</v>
      </c>
      <c r="C18" t="s">
        <v>66</v>
      </c>
      <c r="D18" t="s">
        <v>26</v>
      </c>
      <c r="E18" t="s">
        <v>62</v>
      </c>
      <c r="F18" t="s">
        <v>79</v>
      </c>
      <c r="G18">
        <v>9</v>
      </c>
      <c r="H18">
        <v>1053.95</v>
      </c>
      <c r="I18">
        <v>0</v>
      </c>
      <c r="J18" t="s">
        <v>22</v>
      </c>
      <c r="K18">
        <f>SalesTable[[#This Row],[Quantity]]*SalesTable[[#This Row],[Unit Price]]*(1-SalesTable[[#This Row],[Discount (%)]]/100)</f>
        <v>9485.5500000000011</v>
      </c>
    </row>
    <row r="19" spans="1:11" x14ac:dyDescent="0.25">
      <c r="A19" s="6">
        <v>46220</v>
      </c>
      <c r="B19" t="s">
        <v>81</v>
      </c>
      <c r="C19" t="s">
        <v>69</v>
      </c>
      <c r="D19" t="s">
        <v>20</v>
      </c>
      <c r="E19" t="s">
        <v>33</v>
      </c>
      <c r="F19" t="s">
        <v>82</v>
      </c>
      <c r="G19">
        <v>9</v>
      </c>
      <c r="H19">
        <v>661.64</v>
      </c>
      <c r="I19">
        <v>0</v>
      </c>
      <c r="J19" t="s">
        <v>22</v>
      </c>
      <c r="K19">
        <f>SalesTable[[#This Row],[Quantity]]*SalesTable[[#This Row],[Unit Price]]*(1-SalesTable[[#This Row],[Discount (%)]]/100)</f>
        <v>5954.76</v>
      </c>
    </row>
    <row r="20" spans="1:11" x14ac:dyDescent="0.25">
      <c r="A20" s="6">
        <v>46055</v>
      </c>
      <c r="B20" t="s">
        <v>84</v>
      </c>
      <c r="C20" t="s">
        <v>85</v>
      </c>
      <c r="D20" t="s">
        <v>41</v>
      </c>
      <c r="E20" t="s">
        <v>62</v>
      </c>
      <c r="F20" t="s">
        <v>73</v>
      </c>
      <c r="G20">
        <v>5</v>
      </c>
      <c r="H20">
        <v>513.52</v>
      </c>
      <c r="I20">
        <v>0</v>
      </c>
      <c r="J20" t="s">
        <v>22</v>
      </c>
      <c r="K20">
        <f>SalesTable[[#This Row],[Quantity]]*SalesTable[[#This Row],[Unit Price]]*(1-SalesTable[[#This Row],[Discount (%)]]/100)</f>
        <v>2567.6</v>
      </c>
    </row>
    <row r="21" spans="1:11" x14ac:dyDescent="0.25">
      <c r="A21" s="6">
        <v>46047</v>
      </c>
      <c r="B21" t="s">
        <v>87</v>
      </c>
      <c r="C21" t="s">
        <v>88</v>
      </c>
      <c r="D21" t="s">
        <v>26</v>
      </c>
      <c r="E21" t="s">
        <v>14</v>
      </c>
      <c r="F21" t="s">
        <v>21</v>
      </c>
      <c r="G21">
        <v>4</v>
      </c>
      <c r="H21">
        <v>391.3</v>
      </c>
      <c r="I21">
        <v>5</v>
      </c>
      <c r="J21" t="s">
        <v>16</v>
      </c>
      <c r="K21">
        <f>SalesTable[[#This Row],[Quantity]]*SalesTable[[#This Row],[Unit Price]]*(1-SalesTable[[#This Row],[Discount (%)]]/100)</f>
        <v>1486.94</v>
      </c>
    </row>
    <row r="22" spans="1:11" x14ac:dyDescent="0.25">
      <c r="A22" s="6">
        <v>46175</v>
      </c>
      <c r="B22" t="s">
        <v>90</v>
      </c>
      <c r="C22" t="s">
        <v>91</v>
      </c>
      <c r="D22" t="s">
        <v>20</v>
      </c>
      <c r="E22" t="s">
        <v>62</v>
      </c>
      <c r="F22" t="s">
        <v>92</v>
      </c>
      <c r="G22">
        <v>9</v>
      </c>
      <c r="H22">
        <v>201.61</v>
      </c>
      <c r="I22">
        <v>10</v>
      </c>
      <c r="J22" t="s">
        <v>29</v>
      </c>
      <c r="K22">
        <f>SalesTable[[#This Row],[Quantity]]*SalesTable[[#This Row],[Unit Price]]*(1-SalesTable[[#This Row],[Discount (%)]]/100)</f>
        <v>1633.0410000000002</v>
      </c>
    </row>
    <row r="23" spans="1:11" x14ac:dyDescent="0.25">
      <c r="A23" s="6">
        <v>46151</v>
      </c>
      <c r="B23" t="s">
        <v>94</v>
      </c>
      <c r="C23" t="s">
        <v>12</v>
      </c>
      <c r="D23" t="s">
        <v>41</v>
      </c>
      <c r="E23" t="s">
        <v>27</v>
      </c>
      <c r="F23" t="s">
        <v>28</v>
      </c>
      <c r="G23">
        <v>7</v>
      </c>
      <c r="H23">
        <v>522.54</v>
      </c>
      <c r="I23">
        <v>10</v>
      </c>
      <c r="J23" t="s">
        <v>22</v>
      </c>
      <c r="K23">
        <f>SalesTable[[#This Row],[Quantity]]*SalesTable[[#This Row],[Unit Price]]*(1-SalesTable[[#This Row],[Discount (%)]]/100)</f>
        <v>3292.002</v>
      </c>
    </row>
    <row r="24" spans="1:11" x14ac:dyDescent="0.25">
      <c r="A24" s="6">
        <v>46141</v>
      </c>
      <c r="B24" t="s">
        <v>96</v>
      </c>
      <c r="C24" t="s">
        <v>97</v>
      </c>
      <c r="D24" t="s">
        <v>13</v>
      </c>
      <c r="E24" t="s">
        <v>14</v>
      </c>
      <c r="F24" t="s">
        <v>76</v>
      </c>
      <c r="G24">
        <v>8</v>
      </c>
      <c r="H24">
        <v>155.5</v>
      </c>
      <c r="I24">
        <v>5</v>
      </c>
      <c r="J24" t="s">
        <v>98</v>
      </c>
      <c r="K24">
        <f>SalesTable[[#This Row],[Quantity]]*SalesTable[[#This Row],[Unit Price]]*(1-SalesTable[[#This Row],[Discount (%)]]/100)</f>
        <v>1181.8</v>
      </c>
    </row>
    <row r="25" spans="1:11" x14ac:dyDescent="0.25">
      <c r="A25" s="6">
        <v>46050</v>
      </c>
      <c r="B25" t="s">
        <v>100</v>
      </c>
      <c r="C25" t="s">
        <v>101</v>
      </c>
      <c r="D25" t="s">
        <v>41</v>
      </c>
      <c r="E25" t="s">
        <v>62</v>
      </c>
      <c r="F25" t="s">
        <v>73</v>
      </c>
      <c r="G25">
        <v>6</v>
      </c>
      <c r="H25">
        <v>484.42</v>
      </c>
      <c r="I25">
        <v>0</v>
      </c>
      <c r="J25" t="s">
        <v>29</v>
      </c>
      <c r="K25">
        <f>SalesTable[[#This Row],[Quantity]]*SalesTable[[#This Row],[Unit Price]]*(1-SalesTable[[#This Row],[Discount (%)]]/100)</f>
        <v>2906.52</v>
      </c>
    </row>
    <row r="26" spans="1:11" x14ac:dyDescent="0.25">
      <c r="A26" s="6">
        <v>46032</v>
      </c>
      <c r="B26" t="s">
        <v>103</v>
      </c>
      <c r="C26" t="s">
        <v>104</v>
      </c>
      <c r="D26" t="s">
        <v>20</v>
      </c>
      <c r="E26" t="s">
        <v>33</v>
      </c>
      <c r="F26" t="s">
        <v>46</v>
      </c>
      <c r="G26">
        <v>7</v>
      </c>
      <c r="H26">
        <v>300.05</v>
      </c>
      <c r="I26">
        <v>10</v>
      </c>
      <c r="J26" t="s">
        <v>29</v>
      </c>
      <c r="K26">
        <f>SalesTable[[#This Row],[Quantity]]*SalesTable[[#This Row],[Unit Price]]*(1-SalesTable[[#This Row],[Discount (%)]]/100)</f>
        <v>1890.3150000000001</v>
      </c>
    </row>
    <row r="27" spans="1:11" x14ac:dyDescent="0.25">
      <c r="A27" s="6">
        <v>46200</v>
      </c>
      <c r="B27" t="s">
        <v>106</v>
      </c>
      <c r="C27" t="s">
        <v>107</v>
      </c>
      <c r="D27" t="s">
        <v>13</v>
      </c>
      <c r="E27" t="s">
        <v>27</v>
      </c>
      <c r="F27" t="s">
        <v>28</v>
      </c>
      <c r="G27">
        <v>6</v>
      </c>
      <c r="H27">
        <v>824.26</v>
      </c>
      <c r="I27">
        <v>15</v>
      </c>
      <c r="J27" t="s">
        <v>108</v>
      </c>
      <c r="K27">
        <f>SalesTable[[#This Row],[Quantity]]*SalesTable[[#This Row],[Unit Price]]*(1-SalesTable[[#This Row],[Discount (%)]]/100)</f>
        <v>4203.7259999999997</v>
      </c>
    </row>
    <row r="28" spans="1:11" x14ac:dyDescent="0.25">
      <c r="A28" s="6">
        <v>46123</v>
      </c>
      <c r="B28" t="s">
        <v>110</v>
      </c>
      <c r="C28" t="s">
        <v>19</v>
      </c>
      <c r="D28" t="s">
        <v>20</v>
      </c>
      <c r="E28" t="s">
        <v>33</v>
      </c>
      <c r="F28" t="s">
        <v>34</v>
      </c>
      <c r="G28">
        <v>3</v>
      </c>
      <c r="H28">
        <v>670.14</v>
      </c>
      <c r="I28">
        <v>5</v>
      </c>
      <c r="J28" t="s">
        <v>47</v>
      </c>
      <c r="K28">
        <f>SalesTable[[#This Row],[Quantity]]*SalesTable[[#This Row],[Unit Price]]*(1-SalesTable[[#This Row],[Discount (%)]]/100)</f>
        <v>1909.8989999999999</v>
      </c>
    </row>
    <row r="29" spans="1:11" x14ac:dyDescent="0.25">
      <c r="A29" s="6">
        <v>46175</v>
      </c>
      <c r="B29" t="s">
        <v>111</v>
      </c>
      <c r="C29" t="s">
        <v>112</v>
      </c>
      <c r="D29" t="s">
        <v>13</v>
      </c>
      <c r="E29" t="s">
        <v>33</v>
      </c>
      <c r="F29" t="s">
        <v>82</v>
      </c>
      <c r="G29">
        <v>2</v>
      </c>
      <c r="H29">
        <v>151.74</v>
      </c>
      <c r="I29">
        <v>0</v>
      </c>
      <c r="J29" t="s">
        <v>47</v>
      </c>
      <c r="K29">
        <f>SalesTable[[#This Row],[Quantity]]*SalesTable[[#This Row],[Unit Price]]*(1-SalesTable[[#This Row],[Discount (%)]]/100)</f>
        <v>303.48</v>
      </c>
    </row>
    <row r="30" spans="1:11" x14ac:dyDescent="0.25">
      <c r="A30" s="6">
        <v>46105</v>
      </c>
      <c r="B30" t="s">
        <v>114</v>
      </c>
      <c r="C30" t="s">
        <v>75</v>
      </c>
      <c r="D30" t="s">
        <v>20</v>
      </c>
      <c r="E30" t="s">
        <v>14</v>
      </c>
      <c r="F30" t="s">
        <v>76</v>
      </c>
      <c r="G30">
        <v>1</v>
      </c>
      <c r="H30">
        <v>652.22</v>
      </c>
      <c r="I30">
        <v>0</v>
      </c>
      <c r="J30" t="s">
        <v>108</v>
      </c>
      <c r="K30">
        <f>SalesTable[[#This Row],[Quantity]]*SalesTable[[#This Row],[Unit Price]]*(1-SalesTable[[#This Row],[Discount (%)]]/100)</f>
        <v>652.22</v>
      </c>
    </row>
    <row r="31" spans="1:11" x14ac:dyDescent="0.25">
      <c r="A31" s="6">
        <v>46034</v>
      </c>
      <c r="B31" t="s">
        <v>116</v>
      </c>
      <c r="C31" t="s">
        <v>117</v>
      </c>
      <c r="D31" t="s">
        <v>13</v>
      </c>
      <c r="E31" t="s">
        <v>33</v>
      </c>
      <c r="F31" t="s">
        <v>46</v>
      </c>
      <c r="G31">
        <v>2</v>
      </c>
      <c r="H31">
        <v>951.04</v>
      </c>
      <c r="I31">
        <v>0</v>
      </c>
      <c r="J31" t="s">
        <v>47</v>
      </c>
      <c r="K31">
        <f>SalesTable[[#This Row],[Quantity]]*SalesTable[[#This Row],[Unit Price]]*(1-SalesTable[[#This Row],[Discount (%)]]/100)</f>
        <v>1902.08</v>
      </c>
    </row>
    <row r="32" spans="1:11" x14ac:dyDescent="0.25">
      <c r="A32" s="6">
        <v>46060</v>
      </c>
      <c r="B32" t="s">
        <v>119</v>
      </c>
      <c r="C32" t="s">
        <v>12</v>
      </c>
      <c r="D32" t="s">
        <v>41</v>
      </c>
      <c r="E32" t="s">
        <v>27</v>
      </c>
      <c r="F32" t="s">
        <v>51</v>
      </c>
      <c r="G32">
        <v>7</v>
      </c>
      <c r="H32">
        <v>623.26</v>
      </c>
      <c r="I32">
        <v>5</v>
      </c>
      <c r="J32" t="s">
        <v>47</v>
      </c>
      <c r="K32">
        <f>SalesTable[[#This Row],[Quantity]]*SalesTable[[#This Row],[Unit Price]]*(1-SalesTable[[#This Row],[Discount (%)]]/100)</f>
        <v>4144.6789999999992</v>
      </c>
    </row>
    <row r="33" spans="1:11" x14ac:dyDescent="0.25">
      <c r="A33" s="6">
        <v>46232</v>
      </c>
      <c r="B33" t="s">
        <v>121</v>
      </c>
      <c r="C33" t="s">
        <v>61</v>
      </c>
      <c r="D33" t="s">
        <v>26</v>
      </c>
      <c r="E33" t="s">
        <v>33</v>
      </c>
      <c r="F33" t="s">
        <v>46</v>
      </c>
      <c r="G33">
        <v>8</v>
      </c>
      <c r="H33">
        <v>344.44</v>
      </c>
      <c r="I33">
        <v>5</v>
      </c>
      <c r="J33" t="s">
        <v>47</v>
      </c>
      <c r="K33">
        <f>SalesTable[[#This Row],[Quantity]]*SalesTable[[#This Row],[Unit Price]]*(1-SalesTable[[#This Row],[Discount (%)]]/100)</f>
        <v>2617.7439999999997</v>
      </c>
    </row>
    <row r="34" spans="1:11" x14ac:dyDescent="0.25">
      <c r="A34" s="6">
        <v>46191</v>
      </c>
      <c r="B34" t="s">
        <v>123</v>
      </c>
      <c r="C34" t="s">
        <v>124</v>
      </c>
      <c r="D34" t="s">
        <v>13</v>
      </c>
      <c r="E34" t="s">
        <v>14</v>
      </c>
      <c r="F34" t="s">
        <v>15</v>
      </c>
      <c r="G34">
        <v>9</v>
      </c>
      <c r="H34">
        <v>1193.76</v>
      </c>
      <c r="I34">
        <v>0</v>
      </c>
      <c r="J34" t="s">
        <v>98</v>
      </c>
      <c r="K34">
        <f>SalesTable[[#This Row],[Quantity]]*SalesTable[[#This Row],[Unit Price]]*(1-SalesTable[[#This Row],[Discount (%)]]/100)</f>
        <v>10743.84</v>
      </c>
    </row>
    <row r="35" spans="1:11" x14ac:dyDescent="0.25">
      <c r="A35" s="6">
        <v>46137</v>
      </c>
      <c r="B35" t="s">
        <v>126</v>
      </c>
      <c r="C35" t="s">
        <v>61</v>
      </c>
      <c r="D35" t="s">
        <v>26</v>
      </c>
      <c r="E35" t="s">
        <v>14</v>
      </c>
      <c r="F35" t="s">
        <v>15</v>
      </c>
      <c r="G35">
        <v>5</v>
      </c>
      <c r="H35">
        <v>242.87</v>
      </c>
      <c r="I35">
        <v>15</v>
      </c>
      <c r="J35" t="s">
        <v>16</v>
      </c>
      <c r="K35">
        <f>SalesTable[[#This Row],[Quantity]]*SalesTable[[#This Row],[Unit Price]]*(1-SalesTable[[#This Row],[Discount (%)]]/100)</f>
        <v>1032.1975</v>
      </c>
    </row>
    <row r="36" spans="1:11" x14ac:dyDescent="0.25">
      <c r="A36" s="6">
        <v>46219</v>
      </c>
      <c r="B36" t="s">
        <v>128</v>
      </c>
      <c r="C36" t="s">
        <v>129</v>
      </c>
      <c r="D36" t="s">
        <v>13</v>
      </c>
      <c r="E36" t="s">
        <v>62</v>
      </c>
      <c r="F36" t="s">
        <v>73</v>
      </c>
      <c r="G36">
        <v>8</v>
      </c>
      <c r="H36">
        <v>417.13</v>
      </c>
      <c r="I36">
        <v>15</v>
      </c>
      <c r="J36" t="s">
        <v>29</v>
      </c>
      <c r="K36">
        <f>SalesTable[[#This Row],[Quantity]]*SalesTable[[#This Row],[Unit Price]]*(1-SalesTable[[#This Row],[Discount (%)]]/100)</f>
        <v>2836.4839999999999</v>
      </c>
    </row>
    <row r="37" spans="1:11" x14ac:dyDescent="0.25">
      <c r="A37" s="6">
        <v>46072</v>
      </c>
      <c r="B37" t="s">
        <v>131</v>
      </c>
      <c r="C37" t="s">
        <v>132</v>
      </c>
      <c r="D37" t="s">
        <v>20</v>
      </c>
      <c r="E37" t="s">
        <v>33</v>
      </c>
      <c r="F37" t="s">
        <v>46</v>
      </c>
      <c r="G37">
        <v>10</v>
      </c>
      <c r="H37">
        <v>34.159999999999997</v>
      </c>
      <c r="I37">
        <v>15</v>
      </c>
      <c r="J37" t="s">
        <v>22</v>
      </c>
      <c r="K37">
        <f>SalesTable[[#This Row],[Quantity]]*SalesTable[[#This Row],[Unit Price]]*(1-SalesTable[[#This Row],[Discount (%)]]/100)</f>
        <v>290.35999999999996</v>
      </c>
    </row>
    <row r="38" spans="1:11" x14ac:dyDescent="0.25">
      <c r="A38" s="6">
        <v>46087</v>
      </c>
      <c r="B38" t="s">
        <v>134</v>
      </c>
      <c r="C38" t="s">
        <v>135</v>
      </c>
      <c r="D38" t="s">
        <v>20</v>
      </c>
      <c r="E38" t="s">
        <v>62</v>
      </c>
      <c r="F38" t="s">
        <v>63</v>
      </c>
      <c r="G38">
        <v>8</v>
      </c>
      <c r="H38">
        <v>208.45</v>
      </c>
      <c r="I38">
        <v>5</v>
      </c>
      <c r="J38" t="s">
        <v>98</v>
      </c>
      <c r="K38">
        <f>SalesTable[[#This Row],[Quantity]]*SalesTable[[#This Row],[Unit Price]]*(1-SalesTable[[#This Row],[Discount (%)]]/100)</f>
        <v>1584.2199999999998</v>
      </c>
    </row>
    <row r="39" spans="1:11" x14ac:dyDescent="0.25">
      <c r="A39" s="6">
        <v>46110</v>
      </c>
      <c r="B39" t="s">
        <v>137</v>
      </c>
      <c r="C39" t="s">
        <v>50</v>
      </c>
      <c r="D39" t="s">
        <v>26</v>
      </c>
      <c r="E39" t="s">
        <v>62</v>
      </c>
      <c r="F39" t="s">
        <v>63</v>
      </c>
      <c r="G39">
        <v>8</v>
      </c>
      <c r="H39">
        <v>1118.33</v>
      </c>
      <c r="I39">
        <v>0</v>
      </c>
      <c r="J39" t="s">
        <v>22</v>
      </c>
      <c r="K39">
        <f>SalesTable[[#This Row],[Quantity]]*SalesTable[[#This Row],[Unit Price]]*(1-SalesTable[[#This Row],[Discount (%)]]/100)</f>
        <v>8946.64</v>
      </c>
    </row>
    <row r="40" spans="1:11" x14ac:dyDescent="0.25">
      <c r="A40" s="6">
        <v>46156</v>
      </c>
      <c r="B40" t="s">
        <v>139</v>
      </c>
      <c r="C40" t="s">
        <v>25</v>
      </c>
      <c r="D40" t="s">
        <v>13</v>
      </c>
      <c r="E40" t="s">
        <v>27</v>
      </c>
      <c r="F40" t="s">
        <v>42</v>
      </c>
      <c r="G40">
        <v>9</v>
      </c>
      <c r="H40">
        <v>659.81</v>
      </c>
      <c r="I40">
        <v>10</v>
      </c>
      <c r="J40" t="s">
        <v>108</v>
      </c>
      <c r="K40">
        <f>SalesTable[[#This Row],[Quantity]]*SalesTable[[#This Row],[Unit Price]]*(1-SalesTable[[#This Row],[Discount (%)]]/100)</f>
        <v>5344.4609999999993</v>
      </c>
    </row>
    <row r="41" spans="1:11" x14ac:dyDescent="0.25">
      <c r="A41" s="6">
        <v>46030</v>
      </c>
      <c r="B41" t="s">
        <v>141</v>
      </c>
      <c r="C41" t="s">
        <v>142</v>
      </c>
      <c r="D41" t="s">
        <v>41</v>
      </c>
      <c r="E41" t="s">
        <v>14</v>
      </c>
      <c r="F41" t="s">
        <v>76</v>
      </c>
      <c r="G41">
        <v>3</v>
      </c>
      <c r="H41">
        <v>782.19</v>
      </c>
      <c r="I41">
        <v>0</v>
      </c>
      <c r="J41" t="s">
        <v>29</v>
      </c>
      <c r="K41">
        <f>SalesTable[[#This Row],[Quantity]]*SalesTable[[#This Row],[Unit Price]]*(1-SalesTable[[#This Row],[Discount (%)]]/100)</f>
        <v>2346.5700000000002</v>
      </c>
    </row>
    <row r="42" spans="1:11" x14ac:dyDescent="0.25">
      <c r="A42" s="6">
        <v>46142</v>
      </c>
      <c r="B42" t="s">
        <v>144</v>
      </c>
      <c r="C42" t="s">
        <v>145</v>
      </c>
      <c r="D42" t="s">
        <v>41</v>
      </c>
      <c r="E42" t="s">
        <v>62</v>
      </c>
      <c r="F42" t="s">
        <v>63</v>
      </c>
      <c r="G42">
        <v>3</v>
      </c>
      <c r="H42">
        <v>463.24</v>
      </c>
      <c r="I42">
        <v>0</v>
      </c>
      <c r="J42" t="s">
        <v>98</v>
      </c>
      <c r="K42">
        <f>SalesTable[[#This Row],[Quantity]]*SalesTable[[#This Row],[Unit Price]]*(1-SalesTable[[#This Row],[Discount (%)]]/100)</f>
        <v>1389.72</v>
      </c>
    </row>
    <row r="43" spans="1:11" x14ac:dyDescent="0.25">
      <c r="A43" s="6">
        <v>46143</v>
      </c>
      <c r="B43" t="s">
        <v>147</v>
      </c>
      <c r="C43" t="s">
        <v>117</v>
      </c>
      <c r="D43" t="s">
        <v>41</v>
      </c>
      <c r="E43" t="s">
        <v>62</v>
      </c>
      <c r="F43" t="s">
        <v>63</v>
      </c>
      <c r="G43">
        <v>4</v>
      </c>
      <c r="H43">
        <v>251.67</v>
      </c>
      <c r="I43">
        <v>15</v>
      </c>
      <c r="J43" t="s">
        <v>108</v>
      </c>
      <c r="K43">
        <f>SalesTable[[#This Row],[Quantity]]*SalesTable[[#This Row],[Unit Price]]*(1-SalesTable[[#This Row],[Discount (%)]]/100)</f>
        <v>855.67799999999988</v>
      </c>
    </row>
    <row r="44" spans="1:11" x14ac:dyDescent="0.25">
      <c r="A44" s="6">
        <v>46078</v>
      </c>
      <c r="B44" t="s">
        <v>149</v>
      </c>
      <c r="C44" t="s">
        <v>150</v>
      </c>
      <c r="D44" t="s">
        <v>41</v>
      </c>
      <c r="E44" t="s">
        <v>14</v>
      </c>
      <c r="F44" t="s">
        <v>21</v>
      </c>
      <c r="G44">
        <v>10</v>
      </c>
      <c r="H44">
        <v>160.44999999999999</v>
      </c>
      <c r="I44">
        <v>10</v>
      </c>
      <c r="J44" t="s">
        <v>47</v>
      </c>
      <c r="K44">
        <f>SalesTable[[#This Row],[Quantity]]*SalesTable[[#This Row],[Unit Price]]*(1-SalesTable[[#This Row],[Discount (%)]]/100)</f>
        <v>1444.05</v>
      </c>
    </row>
    <row r="45" spans="1:11" x14ac:dyDescent="0.25">
      <c r="A45" s="6">
        <v>46181</v>
      </c>
      <c r="B45" t="s">
        <v>152</v>
      </c>
      <c r="C45" t="s">
        <v>101</v>
      </c>
      <c r="D45" t="s">
        <v>20</v>
      </c>
      <c r="E45" t="s">
        <v>14</v>
      </c>
      <c r="F45" t="s">
        <v>21</v>
      </c>
      <c r="G45">
        <v>6</v>
      </c>
      <c r="H45">
        <v>704.75</v>
      </c>
      <c r="I45">
        <v>15</v>
      </c>
      <c r="J45" t="s">
        <v>22</v>
      </c>
      <c r="K45">
        <f>SalesTable[[#This Row],[Quantity]]*SalesTable[[#This Row],[Unit Price]]*(1-SalesTable[[#This Row],[Discount (%)]]/100)</f>
        <v>3594.2249999999999</v>
      </c>
    </row>
    <row r="46" spans="1:11" x14ac:dyDescent="0.25">
      <c r="A46" s="6">
        <v>46038</v>
      </c>
      <c r="B46" t="s">
        <v>154</v>
      </c>
      <c r="C46" t="s">
        <v>155</v>
      </c>
      <c r="D46" t="s">
        <v>13</v>
      </c>
      <c r="E46" t="s">
        <v>14</v>
      </c>
      <c r="F46" t="s">
        <v>76</v>
      </c>
      <c r="G46">
        <v>7</v>
      </c>
      <c r="H46">
        <v>924.92</v>
      </c>
      <c r="I46">
        <v>10</v>
      </c>
      <c r="J46" t="s">
        <v>29</v>
      </c>
      <c r="K46">
        <f>SalesTable[[#This Row],[Quantity]]*SalesTable[[#This Row],[Unit Price]]*(1-SalesTable[[#This Row],[Discount (%)]]/100)</f>
        <v>5826.9960000000001</v>
      </c>
    </row>
    <row r="47" spans="1:11" x14ac:dyDescent="0.25">
      <c r="A47" s="6">
        <v>46228</v>
      </c>
      <c r="B47" t="s">
        <v>157</v>
      </c>
      <c r="C47" t="s">
        <v>158</v>
      </c>
      <c r="D47" t="s">
        <v>20</v>
      </c>
      <c r="E47" t="s">
        <v>27</v>
      </c>
      <c r="F47" t="s">
        <v>28</v>
      </c>
      <c r="G47">
        <v>8</v>
      </c>
      <c r="H47">
        <v>504.11</v>
      </c>
      <c r="I47">
        <v>0</v>
      </c>
      <c r="J47" t="s">
        <v>16</v>
      </c>
      <c r="K47">
        <f>SalesTable[[#This Row],[Quantity]]*SalesTable[[#This Row],[Unit Price]]*(1-SalesTable[[#This Row],[Discount (%)]]/100)</f>
        <v>4032.88</v>
      </c>
    </row>
    <row r="48" spans="1:11" x14ac:dyDescent="0.25">
      <c r="A48" s="6">
        <v>46114</v>
      </c>
      <c r="B48" t="s">
        <v>160</v>
      </c>
      <c r="C48" t="s">
        <v>37</v>
      </c>
      <c r="D48" t="s">
        <v>41</v>
      </c>
      <c r="E48" t="s">
        <v>62</v>
      </c>
      <c r="F48" t="s">
        <v>73</v>
      </c>
      <c r="G48">
        <v>6</v>
      </c>
      <c r="H48">
        <v>24.67</v>
      </c>
      <c r="I48">
        <v>10</v>
      </c>
      <c r="J48" t="s">
        <v>108</v>
      </c>
      <c r="K48">
        <f>SalesTable[[#This Row],[Quantity]]*SalesTable[[#This Row],[Unit Price]]*(1-SalesTable[[#This Row],[Discount (%)]]/100)</f>
        <v>133.21800000000002</v>
      </c>
    </row>
    <row r="49" spans="1:11" x14ac:dyDescent="0.25">
      <c r="A49" s="6">
        <v>46189</v>
      </c>
      <c r="B49" t="s">
        <v>161</v>
      </c>
      <c r="C49" t="s">
        <v>117</v>
      </c>
      <c r="D49" t="s">
        <v>26</v>
      </c>
      <c r="E49" t="s">
        <v>62</v>
      </c>
      <c r="F49" t="s">
        <v>63</v>
      </c>
      <c r="G49">
        <v>2</v>
      </c>
      <c r="H49">
        <v>399.93</v>
      </c>
      <c r="I49">
        <v>10</v>
      </c>
      <c r="J49" t="s">
        <v>47</v>
      </c>
      <c r="K49">
        <f>SalesTable[[#This Row],[Quantity]]*SalesTable[[#This Row],[Unit Price]]*(1-SalesTable[[#This Row],[Discount (%)]]/100)</f>
        <v>719.87400000000002</v>
      </c>
    </row>
    <row r="50" spans="1:11" x14ac:dyDescent="0.25">
      <c r="A50" s="6">
        <v>46113</v>
      </c>
      <c r="B50" t="s">
        <v>163</v>
      </c>
      <c r="C50" t="s">
        <v>19</v>
      </c>
      <c r="D50" t="s">
        <v>41</v>
      </c>
      <c r="E50" t="s">
        <v>14</v>
      </c>
      <c r="F50" t="s">
        <v>21</v>
      </c>
      <c r="G50">
        <v>2</v>
      </c>
      <c r="H50">
        <v>98.62</v>
      </c>
      <c r="I50">
        <v>0</v>
      </c>
      <c r="J50" t="s">
        <v>22</v>
      </c>
      <c r="K50">
        <f>SalesTable[[#This Row],[Quantity]]*SalesTable[[#This Row],[Unit Price]]*(1-SalesTable[[#This Row],[Discount (%)]]/100)</f>
        <v>197.24</v>
      </c>
    </row>
    <row r="51" spans="1:11" x14ac:dyDescent="0.25">
      <c r="A51" s="6">
        <v>46031</v>
      </c>
      <c r="B51" t="s">
        <v>165</v>
      </c>
      <c r="C51" t="s">
        <v>75</v>
      </c>
      <c r="D51" t="s">
        <v>13</v>
      </c>
      <c r="E51" t="s">
        <v>33</v>
      </c>
      <c r="F51" t="s">
        <v>46</v>
      </c>
      <c r="G51">
        <v>10</v>
      </c>
      <c r="H51">
        <v>998.64</v>
      </c>
      <c r="I51">
        <v>15</v>
      </c>
      <c r="J51" t="s">
        <v>47</v>
      </c>
      <c r="K51">
        <f>SalesTable[[#This Row],[Quantity]]*SalesTable[[#This Row],[Unit Price]]*(1-SalesTable[[#This Row],[Discount (%)]]/100)</f>
        <v>8488.4399999999987</v>
      </c>
    </row>
    <row r="52" spans="1:11" x14ac:dyDescent="0.25">
      <c r="A52" s="6">
        <v>46164</v>
      </c>
      <c r="B52" t="s">
        <v>167</v>
      </c>
      <c r="C52" t="s">
        <v>168</v>
      </c>
      <c r="D52" t="s">
        <v>26</v>
      </c>
      <c r="E52" t="s">
        <v>27</v>
      </c>
      <c r="F52" t="s">
        <v>28</v>
      </c>
      <c r="G52">
        <v>10</v>
      </c>
      <c r="H52">
        <v>520.30999999999995</v>
      </c>
      <c r="I52">
        <v>0</v>
      </c>
      <c r="J52" t="s">
        <v>16</v>
      </c>
      <c r="K52">
        <f>SalesTable[[#This Row],[Quantity]]*SalesTable[[#This Row],[Unit Price]]*(1-SalesTable[[#This Row],[Discount (%)]]/100)</f>
        <v>5203.0999999999995</v>
      </c>
    </row>
    <row r="53" spans="1:11" x14ac:dyDescent="0.25">
      <c r="A53" s="6">
        <v>46073</v>
      </c>
      <c r="B53" t="s">
        <v>169</v>
      </c>
      <c r="C53" t="s">
        <v>170</v>
      </c>
      <c r="D53" t="s">
        <v>41</v>
      </c>
      <c r="E53" t="s">
        <v>33</v>
      </c>
      <c r="F53" t="s">
        <v>34</v>
      </c>
      <c r="G53">
        <v>6</v>
      </c>
      <c r="H53">
        <v>166.21</v>
      </c>
      <c r="I53">
        <v>0</v>
      </c>
      <c r="J53" t="s">
        <v>98</v>
      </c>
      <c r="K53">
        <f>SalesTable[[#This Row],[Quantity]]*SalesTable[[#This Row],[Unit Price]]*(1-SalesTable[[#This Row],[Discount (%)]]/100)</f>
        <v>997.26</v>
      </c>
    </row>
    <row r="54" spans="1:11" x14ac:dyDescent="0.25">
      <c r="A54" s="6">
        <v>46069</v>
      </c>
      <c r="B54" t="s">
        <v>172</v>
      </c>
      <c r="C54" t="s">
        <v>12</v>
      </c>
      <c r="D54" t="s">
        <v>20</v>
      </c>
      <c r="E54" t="s">
        <v>14</v>
      </c>
      <c r="F54" t="s">
        <v>15</v>
      </c>
      <c r="G54">
        <v>10</v>
      </c>
      <c r="H54">
        <v>225.99</v>
      </c>
      <c r="I54">
        <v>10</v>
      </c>
      <c r="J54" t="s">
        <v>98</v>
      </c>
      <c r="K54">
        <f>SalesTable[[#This Row],[Quantity]]*SalesTable[[#This Row],[Unit Price]]*(1-SalesTable[[#This Row],[Discount (%)]]/100)</f>
        <v>2033.91</v>
      </c>
    </row>
    <row r="55" spans="1:11" x14ac:dyDescent="0.25">
      <c r="A55" s="6">
        <v>46085</v>
      </c>
      <c r="B55" t="s">
        <v>174</v>
      </c>
      <c r="C55" t="s">
        <v>175</v>
      </c>
      <c r="D55" t="s">
        <v>13</v>
      </c>
      <c r="E55" t="s">
        <v>33</v>
      </c>
      <c r="F55" t="s">
        <v>82</v>
      </c>
      <c r="G55">
        <v>6</v>
      </c>
      <c r="H55">
        <v>1097.42</v>
      </c>
      <c r="I55">
        <v>0</v>
      </c>
      <c r="J55" t="s">
        <v>98</v>
      </c>
      <c r="K55">
        <f>SalesTable[[#This Row],[Quantity]]*SalesTable[[#This Row],[Unit Price]]*(1-SalesTable[[#This Row],[Discount (%)]]/100)</f>
        <v>6584.52</v>
      </c>
    </row>
    <row r="56" spans="1:11" x14ac:dyDescent="0.25">
      <c r="A56" s="6">
        <v>46053</v>
      </c>
      <c r="B56" t="s">
        <v>177</v>
      </c>
      <c r="C56" t="s">
        <v>40</v>
      </c>
      <c r="D56" t="s">
        <v>20</v>
      </c>
      <c r="E56" t="s">
        <v>27</v>
      </c>
      <c r="F56" t="s">
        <v>51</v>
      </c>
      <c r="G56">
        <v>10</v>
      </c>
      <c r="H56">
        <v>845.25</v>
      </c>
      <c r="I56">
        <v>10</v>
      </c>
      <c r="J56" t="s">
        <v>22</v>
      </c>
      <c r="K56">
        <f>SalesTable[[#This Row],[Quantity]]*SalesTable[[#This Row],[Unit Price]]*(1-SalesTable[[#This Row],[Discount (%)]]/100)</f>
        <v>7607.25</v>
      </c>
    </row>
    <row r="57" spans="1:11" x14ac:dyDescent="0.25">
      <c r="A57" s="6">
        <v>46098</v>
      </c>
      <c r="B57" t="s">
        <v>179</v>
      </c>
      <c r="C57" t="s">
        <v>12</v>
      </c>
      <c r="D57" t="s">
        <v>13</v>
      </c>
      <c r="E57" t="s">
        <v>27</v>
      </c>
      <c r="F57" t="s">
        <v>42</v>
      </c>
      <c r="G57">
        <v>3</v>
      </c>
      <c r="H57">
        <v>1117.22</v>
      </c>
      <c r="I57">
        <v>5</v>
      </c>
      <c r="J57" t="s">
        <v>16</v>
      </c>
      <c r="K57">
        <f>SalesTable[[#This Row],[Quantity]]*SalesTable[[#This Row],[Unit Price]]*(1-SalesTable[[#This Row],[Discount (%)]]/100)</f>
        <v>3184.0769999999998</v>
      </c>
    </row>
    <row r="58" spans="1:11" x14ac:dyDescent="0.25">
      <c r="A58" s="6">
        <v>46138</v>
      </c>
      <c r="B58" t="s">
        <v>181</v>
      </c>
      <c r="C58" t="s">
        <v>75</v>
      </c>
      <c r="D58" t="s">
        <v>20</v>
      </c>
      <c r="E58" t="s">
        <v>33</v>
      </c>
      <c r="F58" t="s">
        <v>82</v>
      </c>
      <c r="G58">
        <v>10</v>
      </c>
      <c r="H58">
        <v>1183.98</v>
      </c>
      <c r="I58">
        <v>15</v>
      </c>
      <c r="J58" t="s">
        <v>29</v>
      </c>
      <c r="K58">
        <f>SalesTable[[#This Row],[Quantity]]*SalesTable[[#This Row],[Unit Price]]*(1-SalesTable[[#This Row],[Discount (%)]]/100)</f>
        <v>10063.83</v>
      </c>
    </row>
    <row r="59" spans="1:11" x14ac:dyDescent="0.25">
      <c r="A59" s="6">
        <v>46217</v>
      </c>
      <c r="B59" t="s">
        <v>183</v>
      </c>
      <c r="C59" t="s">
        <v>19</v>
      </c>
      <c r="D59" t="s">
        <v>20</v>
      </c>
      <c r="E59" t="s">
        <v>14</v>
      </c>
      <c r="F59" t="s">
        <v>76</v>
      </c>
      <c r="G59">
        <v>10</v>
      </c>
      <c r="H59">
        <v>742.25</v>
      </c>
      <c r="I59">
        <v>10</v>
      </c>
      <c r="J59" t="s">
        <v>16</v>
      </c>
      <c r="K59">
        <f>SalesTable[[#This Row],[Quantity]]*SalesTable[[#This Row],[Unit Price]]*(1-SalesTable[[#This Row],[Discount (%)]]/100)</f>
        <v>6680.25</v>
      </c>
    </row>
    <row r="60" spans="1:11" x14ac:dyDescent="0.25">
      <c r="A60" s="6">
        <v>46133</v>
      </c>
      <c r="B60" t="s">
        <v>185</v>
      </c>
      <c r="C60" t="s">
        <v>186</v>
      </c>
      <c r="D60" t="s">
        <v>41</v>
      </c>
      <c r="E60" t="s">
        <v>62</v>
      </c>
      <c r="F60" t="s">
        <v>79</v>
      </c>
      <c r="G60">
        <v>8</v>
      </c>
      <c r="H60">
        <v>376.54</v>
      </c>
      <c r="I60">
        <v>5</v>
      </c>
      <c r="J60" t="s">
        <v>29</v>
      </c>
      <c r="K60">
        <f>SalesTable[[#This Row],[Quantity]]*SalesTable[[#This Row],[Unit Price]]*(1-SalesTable[[#This Row],[Discount (%)]]/100)</f>
        <v>2861.7040000000002</v>
      </c>
    </row>
    <row r="61" spans="1:11" x14ac:dyDescent="0.25">
      <c r="A61" s="6">
        <v>46049</v>
      </c>
      <c r="B61" t="s">
        <v>188</v>
      </c>
      <c r="C61" t="s">
        <v>66</v>
      </c>
      <c r="D61" t="s">
        <v>26</v>
      </c>
      <c r="E61" t="s">
        <v>14</v>
      </c>
      <c r="F61" t="s">
        <v>15</v>
      </c>
      <c r="G61">
        <v>8</v>
      </c>
      <c r="H61">
        <v>1069.67</v>
      </c>
      <c r="I61">
        <v>10</v>
      </c>
      <c r="J61" t="s">
        <v>22</v>
      </c>
      <c r="K61">
        <f>SalesTable[[#This Row],[Quantity]]*SalesTable[[#This Row],[Unit Price]]*(1-SalesTable[[#This Row],[Discount (%)]]/100)</f>
        <v>7701.6240000000007</v>
      </c>
    </row>
    <row r="62" spans="1:11" x14ac:dyDescent="0.25">
      <c r="A62" s="6">
        <v>46192</v>
      </c>
      <c r="B62" t="s">
        <v>189</v>
      </c>
      <c r="C62" t="s">
        <v>145</v>
      </c>
      <c r="D62" t="s">
        <v>41</v>
      </c>
      <c r="E62" t="s">
        <v>62</v>
      </c>
      <c r="F62" t="s">
        <v>79</v>
      </c>
      <c r="G62">
        <v>7</v>
      </c>
      <c r="H62">
        <v>797.72</v>
      </c>
      <c r="I62">
        <v>0</v>
      </c>
      <c r="J62" t="s">
        <v>22</v>
      </c>
      <c r="K62">
        <f>SalesTable[[#This Row],[Quantity]]*SalesTable[[#This Row],[Unit Price]]*(1-SalesTable[[#This Row],[Discount (%)]]/100)</f>
        <v>5584.04</v>
      </c>
    </row>
    <row r="63" spans="1:11" x14ac:dyDescent="0.25">
      <c r="A63" s="6">
        <v>46183</v>
      </c>
      <c r="B63" t="s">
        <v>191</v>
      </c>
      <c r="C63" t="s">
        <v>192</v>
      </c>
      <c r="D63" t="s">
        <v>13</v>
      </c>
      <c r="E63" t="s">
        <v>62</v>
      </c>
      <c r="F63" t="s">
        <v>92</v>
      </c>
      <c r="G63">
        <v>2</v>
      </c>
      <c r="H63">
        <v>1091.08</v>
      </c>
      <c r="I63">
        <v>5</v>
      </c>
      <c r="J63" t="s">
        <v>22</v>
      </c>
      <c r="K63">
        <f>SalesTable[[#This Row],[Quantity]]*SalesTable[[#This Row],[Unit Price]]*(1-SalesTable[[#This Row],[Discount (%)]]/100)</f>
        <v>2073.0519999999997</v>
      </c>
    </row>
    <row r="64" spans="1:11" x14ac:dyDescent="0.25">
      <c r="A64" s="6">
        <v>46081</v>
      </c>
      <c r="B64" t="s">
        <v>194</v>
      </c>
      <c r="C64" t="s">
        <v>150</v>
      </c>
      <c r="D64" t="s">
        <v>26</v>
      </c>
      <c r="E64" t="s">
        <v>33</v>
      </c>
      <c r="F64" t="s">
        <v>34</v>
      </c>
      <c r="G64">
        <v>6</v>
      </c>
      <c r="H64">
        <v>675.43</v>
      </c>
      <c r="I64">
        <v>0</v>
      </c>
      <c r="J64" t="s">
        <v>29</v>
      </c>
      <c r="K64">
        <f>SalesTable[[#This Row],[Quantity]]*SalesTable[[#This Row],[Unit Price]]*(1-SalesTable[[#This Row],[Discount (%)]]/100)</f>
        <v>4052.58</v>
      </c>
    </row>
    <row r="65" spans="1:11" x14ac:dyDescent="0.25">
      <c r="A65" s="6">
        <v>46047</v>
      </c>
      <c r="B65" t="s">
        <v>195</v>
      </c>
      <c r="C65" t="s">
        <v>196</v>
      </c>
      <c r="D65" t="s">
        <v>41</v>
      </c>
      <c r="E65" t="s">
        <v>14</v>
      </c>
      <c r="F65" t="s">
        <v>76</v>
      </c>
      <c r="G65">
        <v>4</v>
      </c>
      <c r="H65">
        <v>282.35000000000002</v>
      </c>
      <c r="I65">
        <v>15</v>
      </c>
      <c r="J65" t="s">
        <v>47</v>
      </c>
      <c r="K65">
        <f>SalesTable[[#This Row],[Quantity]]*SalesTable[[#This Row],[Unit Price]]*(1-SalesTable[[#This Row],[Discount (%)]]/100)</f>
        <v>959.99</v>
      </c>
    </row>
    <row r="66" spans="1:11" x14ac:dyDescent="0.25">
      <c r="A66" s="6">
        <v>46188</v>
      </c>
      <c r="B66" t="s">
        <v>198</v>
      </c>
      <c r="C66" t="s">
        <v>19</v>
      </c>
      <c r="D66" t="s">
        <v>41</v>
      </c>
      <c r="E66" t="s">
        <v>62</v>
      </c>
      <c r="F66" t="s">
        <v>79</v>
      </c>
      <c r="G66">
        <v>1</v>
      </c>
      <c r="H66">
        <v>290.39999999999998</v>
      </c>
      <c r="I66">
        <v>5</v>
      </c>
      <c r="J66" t="s">
        <v>108</v>
      </c>
      <c r="K66">
        <f>SalesTable[[#This Row],[Quantity]]*SalesTable[[#This Row],[Unit Price]]*(1-SalesTable[[#This Row],[Discount (%)]]/100)</f>
        <v>275.87999999999994</v>
      </c>
    </row>
    <row r="67" spans="1:11" x14ac:dyDescent="0.25">
      <c r="A67" s="6">
        <v>46068</v>
      </c>
      <c r="B67" t="s">
        <v>200</v>
      </c>
      <c r="C67" t="s">
        <v>201</v>
      </c>
      <c r="D67" t="s">
        <v>13</v>
      </c>
      <c r="E67" t="s">
        <v>14</v>
      </c>
      <c r="F67" t="s">
        <v>76</v>
      </c>
      <c r="G67">
        <v>4</v>
      </c>
      <c r="H67">
        <v>803.88</v>
      </c>
      <c r="I67">
        <v>15</v>
      </c>
      <c r="J67" t="s">
        <v>29</v>
      </c>
      <c r="K67">
        <f>SalesTable[[#This Row],[Quantity]]*SalesTable[[#This Row],[Unit Price]]*(1-SalesTable[[#This Row],[Discount (%)]]/100)</f>
        <v>2733.192</v>
      </c>
    </row>
    <row r="68" spans="1:11" x14ac:dyDescent="0.25">
      <c r="A68" s="6">
        <v>46083</v>
      </c>
      <c r="B68" t="s">
        <v>203</v>
      </c>
      <c r="C68" t="s">
        <v>204</v>
      </c>
      <c r="D68" t="s">
        <v>13</v>
      </c>
      <c r="E68" t="s">
        <v>14</v>
      </c>
      <c r="F68" t="s">
        <v>76</v>
      </c>
      <c r="G68">
        <v>4</v>
      </c>
      <c r="H68">
        <v>472.22</v>
      </c>
      <c r="I68">
        <v>5</v>
      </c>
      <c r="J68" t="s">
        <v>29</v>
      </c>
      <c r="K68">
        <f>SalesTable[[#This Row],[Quantity]]*SalesTable[[#This Row],[Unit Price]]*(1-SalesTable[[#This Row],[Discount (%)]]/100)</f>
        <v>1794.4359999999999</v>
      </c>
    </row>
    <row r="69" spans="1:11" x14ac:dyDescent="0.25">
      <c r="A69" s="6">
        <v>46175</v>
      </c>
      <c r="B69" t="s">
        <v>205</v>
      </c>
      <c r="C69" t="s">
        <v>204</v>
      </c>
      <c r="D69" t="s">
        <v>41</v>
      </c>
      <c r="E69" t="s">
        <v>33</v>
      </c>
      <c r="F69" t="s">
        <v>34</v>
      </c>
      <c r="G69">
        <v>2</v>
      </c>
      <c r="H69">
        <v>944.48</v>
      </c>
      <c r="I69">
        <v>15</v>
      </c>
      <c r="J69" t="s">
        <v>16</v>
      </c>
      <c r="K69">
        <f>SalesTable[[#This Row],[Quantity]]*SalesTable[[#This Row],[Unit Price]]*(1-SalesTable[[#This Row],[Discount (%)]]/100)</f>
        <v>1605.616</v>
      </c>
    </row>
    <row r="70" spans="1:11" x14ac:dyDescent="0.25">
      <c r="A70" s="6">
        <v>46132</v>
      </c>
      <c r="B70" t="s">
        <v>207</v>
      </c>
      <c r="C70" t="s">
        <v>201</v>
      </c>
      <c r="D70" t="s">
        <v>20</v>
      </c>
      <c r="E70" t="s">
        <v>33</v>
      </c>
      <c r="F70" t="s">
        <v>46</v>
      </c>
      <c r="G70">
        <v>4</v>
      </c>
      <c r="H70">
        <v>179.87</v>
      </c>
      <c r="I70">
        <v>10</v>
      </c>
      <c r="J70" t="s">
        <v>47</v>
      </c>
      <c r="K70">
        <f>SalesTable[[#This Row],[Quantity]]*SalesTable[[#This Row],[Unit Price]]*(1-SalesTable[[#This Row],[Discount (%)]]/100)</f>
        <v>647.53200000000004</v>
      </c>
    </row>
    <row r="71" spans="1:11" x14ac:dyDescent="0.25">
      <c r="A71" s="6">
        <v>46194</v>
      </c>
      <c r="B71" t="s">
        <v>209</v>
      </c>
      <c r="C71" t="s">
        <v>210</v>
      </c>
      <c r="D71" t="s">
        <v>26</v>
      </c>
      <c r="E71" t="s">
        <v>27</v>
      </c>
      <c r="F71" t="s">
        <v>51</v>
      </c>
      <c r="G71">
        <v>2</v>
      </c>
      <c r="H71">
        <v>521.23</v>
      </c>
      <c r="I71">
        <v>0</v>
      </c>
      <c r="J71" t="s">
        <v>108</v>
      </c>
      <c r="K71">
        <f>SalesTable[[#This Row],[Quantity]]*SalesTable[[#This Row],[Unit Price]]*(1-SalesTable[[#This Row],[Discount (%)]]/100)</f>
        <v>1042.46</v>
      </c>
    </row>
    <row r="72" spans="1:11" x14ac:dyDescent="0.25">
      <c r="A72" s="6">
        <v>46127</v>
      </c>
      <c r="B72" t="s">
        <v>212</v>
      </c>
      <c r="C72" t="s">
        <v>213</v>
      </c>
      <c r="D72" t="s">
        <v>41</v>
      </c>
      <c r="E72" t="s">
        <v>62</v>
      </c>
      <c r="F72" t="s">
        <v>73</v>
      </c>
      <c r="G72">
        <v>3</v>
      </c>
      <c r="H72">
        <v>193.19</v>
      </c>
      <c r="I72">
        <v>10</v>
      </c>
      <c r="J72" t="s">
        <v>108</v>
      </c>
      <c r="K72">
        <f>SalesTable[[#This Row],[Quantity]]*SalesTable[[#This Row],[Unit Price]]*(1-SalesTable[[#This Row],[Discount (%)]]/100)</f>
        <v>521.61299999999994</v>
      </c>
    </row>
    <row r="73" spans="1:11" x14ac:dyDescent="0.25">
      <c r="A73" s="6">
        <v>46224</v>
      </c>
      <c r="B73" t="s">
        <v>215</v>
      </c>
      <c r="C73" t="s">
        <v>216</v>
      </c>
      <c r="D73" t="s">
        <v>41</v>
      </c>
      <c r="E73" t="s">
        <v>27</v>
      </c>
      <c r="F73" t="s">
        <v>51</v>
      </c>
      <c r="G73">
        <v>4</v>
      </c>
      <c r="H73">
        <v>316.89</v>
      </c>
      <c r="I73">
        <v>0</v>
      </c>
      <c r="J73" t="s">
        <v>22</v>
      </c>
      <c r="K73">
        <f>SalesTable[[#This Row],[Quantity]]*SalesTable[[#This Row],[Unit Price]]*(1-SalesTable[[#This Row],[Discount (%)]]/100)</f>
        <v>1267.56</v>
      </c>
    </row>
    <row r="74" spans="1:11" x14ac:dyDescent="0.25">
      <c r="A74" s="6">
        <v>46136</v>
      </c>
      <c r="B74" t="s">
        <v>218</v>
      </c>
      <c r="C74" t="s">
        <v>192</v>
      </c>
      <c r="D74" t="s">
        <v>20</v>
      </c>
      <c r="E74" t="s">
        <v>33</v>
      </c>
      <c r="F74" t="s">
        <v>34</v>
      </c>
      <c r="G74">
        <v>9</v>
      </c>
      <c r="H74">
        <v>1030.72</v>
      </c>
      <c r="I74">
        <v>0</v>
      </c>
      <c r="J74" t="s">
        <v>108</v>
      </c>
      <c r="K74">
        <f>SalesTable[[#This Row],[Quantity]]*SalesTable[[#This Row],[Unit Price]]*(1-SalesTable[[#This Row],[Discount (%)]]/100)</f>
        <v>9276.48</v>
      </c>
    </row>
    <row r="75" spans="1:11" x14ac:dyDescent="0.25">
      <c r="A75" s="6">
        <v>46051</v>
      </c>
      <c r="B75" t="s">
        <v>220</v>
      </c>
      <c r="C75" t="s">
        <v>88</v>
      </c>
      <c r="D75" t="s">
        <v>13</v>
      </c>
      <c r="E75" t="s">
        <v>33</v>
      </c>
      <c r="F75" t="s">
        <v>46</v>
      </c>
      <c r="G75">
        <v>10</v>
      </c>
      <c r="H75">
        <v>650.99</v>
      </c>
      <c r="I75">
        <v>10</v>
      </c>
      <c r="J75" t="s">
        <v>16</v>
      </c>
      <c r="K75">
        <f>SalesTable[[#This Row],[Quantity]]*SalesTable[[#This Row],[Unit Price]]*(1-SalesTable[[#This Row],[Discount (%)]]/100)</f>
        <v>5858.91</v>
      </c>
    </row>
    <row r="76" spans="1:11" x14ac:dyDescent="0.25">
      <c r="A76" s="6">
        <v>46110</v>
      </c>
      <c r="B76" t="s">
        <v>221</v>
      </c>
      <c r="C76" t="s">
        <v>222</v>
      </c>
      <c r="D76" t="s">
        <v>20</v>
      </c>
      <c r="E76" t="s">
        <v>14</v>
      </c>
      <c r="F76" t="s">
        <v>76</v>
      </c>
      <c r="G76">
        <v>7</v>
      </c>
      <c r="H76">
        <v>864.97</v>
      </c>
      <c r="I76">
        <v>5</v>
      </c>
      <c r="J76" t="s">
        <v>29</v>
      </c>
      <c r="K76">
        <f>SalesTable[[#This Row],[Quantity]]*SalesTable[[#This Row],[Unit Price]]*(1-SalesTable[[#This Row],[Discount (%)]]/100)</f>
        <v>5752.0504999999994</v>
      </c>
    </row>
    <row r="77" spans="1:11" x14ac:dyDescent="0.25">
      <c r="A77" s="6">
        <v>46113</v>
      </c>
      <c r="B77" t="s">
        <v>223</v>
      </c>
      <c r="C77" t="s">
        <v>210</v>
      </c>
      <c r="D77" t="s">
        <v>20</v>
      </c>
      <c r="E77" t="s">
        <v>27</v>
      </c>
      <c r="F77" t="s">
        <v>51</v>
      </c>
      <c r="G77">
        <v>7</v>
      </c>
      <c r="H77">
        <v>589.35</v>
      </c>
      <c r="I77">
        <v>10</v>
      </c>
      <c r="J77" t="s">
        <v>29</v>
      </c>
      <c r="K77">
        <f>SalesTable[[#This Row],[Quantity]]*SalesTable[[#This Row],[Unit Price]]*(1-SalesTable[[#This Row],[Discount (%)]]/100)</f>
        <v>3712.9049999999997</v>
      </c>
    </row>
    <row r="78" spans="1:11" x14ac:dyDescent="0.25">
      <c r="A78" s="6">
        <v>46096</v>
      </c>
      <c r="B78" t="s">
        <v>225</v>
      </c>
      <c r="C78" t="s">
        <v>61</v>
      </c>
      <c r="D78" t="s">
        <v>20</v>
      </c>
      <c r="E78" t="s">
        <v>33</v>
      </c>
      <c r="F78" t="s">
        <v>46</v>
      </c>
      <c r="G78">
        <v>5</v>
      </c>
      <c r="H78">
        <v>944.13</v>
      </c>
      <c r="I78">
        <v>10</v>
      </c>
      <c r="J78" t="s">
        <v>22</v>
      </c>
      <c r="K78">
        <f>SalesTable[[#This Row],[Quantity]]*SalesTable[[#This Row],[Unit Price]]*(1-SalesTable[[#This Row],[Discount (%)]]/100)</f>
        <v>4248.585</v>
      </c>
    </row>
    <row r="79" spans="1:11" x14ac:dyDescent="0.25">
      <c r="A79" s="6">
        <v>46140</v>
      </c>
      <c r="B79" t="s">
        <v>227</v>
      </c>
      <c r="C79" t="s">
        <v>61</v>
      </c>
      <c r="D79" t="s">
        <v>26</v>
      </c>
      <c r="E79" t="s">
        <v>27</v>
      </c>
      <c r="F79" t="s">
        <v>42</v>
      </c>
      <c r="G79">
        <v>8</v>
      </c>
      <c r="H79">
        <v>534.97</v>
      </c>
      <c r="I79">
        <v>15</v>
      </c>
      <c r="J79" t="s">
        <v>108</v>
      </c>
      <c r="K79">
        <f>SalesTable[[#This Row],[Quantity]]*SalesTable[[#This Row],[Unit Price]]*(1-SalesTable[[#This Row],[Discount (%)]]/100)</f>
        <v>3637.7960000000003</v>
      </c>
    </row>
    <row r="80" spans="1:11" x14ac:dyDescent="0.25">
      <c r="A80" s="6">
        <v>46140</v>
      </c>
      <c r="B80" t="s">
        <v>228</v>
      </c>
      <c r="C80" t="s">
        <v>229</v>
      </c>
      <c r="D80" t="s">
        <v>41</v>
      </c>
      <c r="E80" t="s">
        <v>33</v>
      </c>
      <c r="F80" t="s">
        <v>82</v>
      </c>
      <c r="G80">
        <v>6</v>
      </c>
      <c r="H80">
        <v>473.67</v>
      </c>
      <c r="I80">
        <v>10</v>
      </c>
      <c r="J80" t="s">
        <v>98</v>
      </c>
      <c r="K80">
        <f>SalesTable[[#This Row],[Quantity]]*SalesTable[[#This Row],[Unit Price]]*(1-SalesTable[[#This Row],[Discount (%)]]/100)</f>
        <v>2557.8180000000002</v>
      </c>
    </row>
    <row r="81" spans="1:11" x14ac:dyDescent="0.25">
      <c r="A81" s="6">
        <v>46209</v>
      </c>
      <c r="B81" t="s">
        <v>231</v>
      </c>
      <c r="C81" t="s">
        <v>229</v>
      </c>
      <c r="D81" t="s">
        <v>41</v>
      </c>
      <c r="E81" t="s">
        <v>14</v>
      </c>
      <c r="F81" t="s">
        <v>15</v>
      </c>
      <c r="G81">
        <v>7</v>
      </c>
      <c r="H81">
        <v>377.82</v>
      </c>
      <c r="I81">
        <v>15</v>
      </c>
      <c r="J81" t="s">
        <v>22</v>
      </c>
      <c r="K81">
        <f>SalesTable[[#This Row],[Quantity]]*SalesTable[[#This Row],[Unit Price]]*(1-SalesTable[[#This Row],[Discount (%)]]/100)</f>
        <v>2248.0289999999995</v>
      </c>
    </row>
    <row r="82" spans="1:11" x14ac:dyDescent="0.25">
      <c r="A82" s="6">
        <v>46202</v>
      </c>
      <c r="B82" t="s">
        <v>233</v>
      </c>
      <c r="C82" t="s">
        <v>101</v>
      </c>
      <c r="D82" t="s">
        <v>13</v>
      </c>
      <c r="E82" t="s">
        <v>62</v>
      </c>
      <c r="F82" t="s">
        <v>73</v>
      </c>
      <c r="G82">
        <v>8</v>
      </c>
      <c r="H82">
        <v>806.43</v>
      </c>
      <c r="I82">
        <v>0</v>
      </c>
      <c r="J82" t="s">
        <v>22</v>
      </c>
      <c r="K82">
        <f>SalesTable[[#This Row],[Quantity]]*SalesTable[[#This Row],[Unit Price]]*(1-SalesTable[[#This Row],[Discount (%)]]/100)</f>
        <v>6451.44</v>
      </c>
    </row>
    <row r="83" spans="1:11" x14ac:dyDescent="0.25">
      <c r="A83" s="6">
        <v>46131</v>
      </c>
      <c r="B83" t="s">
        <v>235</v>
      </c>
      <c r="C83" t="s">
        <v>236</v>
      </c>
      <c r="D83" t="s">
        <v>26</v>
      </c>
      <c r="E83" t="s">
        <v>14</v>
      </c>
      <c r="F83" t="s">
        <v>76</v>
      </c>
      <c r="G83">
        <v>7</v>
      </c>
      <c r="H83">
        <v>904.96</v>
      </c>
      <c r="I83">
        <v>5</v>
      </c>
      <c r="J83" t="s">
        <v>29</v>
      </c>
      <c r="K83">
        <f>SalesTable[[#This Row],[Quantity]]*SalesTable[[#This Row],[Unit Price]]*(1-SalesTable[[#This Row],[Discount (%)]]/100)</f>
        <v>6017.9840000000004</v>
      </c>
    </row>
    <row r="84" spans="1:11" x14ac:dyDescent="0.25">
      <c r="A84" s="6">
        <v>46057</v>
      </c>
      <c r="B84" t="s">
        <v>238</v>
      </c>
      <c r="C84" t="s">
        <v>239</v>
      </c>
      <c r="D84" t="s">
        <v>41</v>
      </c>
      <c r="E84" t="s">
        <v>27</v>
      </c>
      <c r="F84" t="s">
        <v>42</v>
      </c>
      <c r="G84">
        <v>5</v>
      </c>
      <c r="H84">
        <v>1134.74</v>
      </c>
      <c r="I84">
        <v>5</v>
      </c>
      <c r="J84" t="s">
        <v>22</v>
      </c>
      <c r="K84">
        <f>SalesTable[[#This Row],[Quantity]]*SalesTable[[#This Row],[Unit Price]]*(1-SalesTable[[#This Row],[Discount (%)]]/100)</f>
        <v>5390.0149999999994</v>
      </c>
    </row>
    <row r="85" spans="1:11" x14ac:dyDescent="0.25">
      <c r="A85" s="6">
        <v>46206</v>
      </c>
      <c r="B85" t="s">
        <v>241</v>
      </c>
      <c r="C85" t="s">
        <v>158</v>
      </c>
      <c r="D85" t="s">
        <v>26</v>
      </c>
      <c r="E85" t="s">
        <v>14</v>
      </c>
      <c r="F85" t="s">
        <v>76</v>
      </c>
      <c r="G85">
        <v>4</v>
      </c>
      <c r="H85">
        <v>78.400000000000006</v>
      </c>
      <c r="I85">
        <v>0</v>
      </c>
      <c r="J85" t="s">
        <v>16</v>
      </c>
      <c r="K85">
        <f>SalesTable[[#This Row],[Quantity]]*SalesTable[[#This Row],[Unit Price]]*(1-SalesTable[[#This Row],[Discount (%)]]/100)</f>
        <v>313.60000000000002</v>
      </c>
    </row>
    <row r="86" spans="1:11" x14ac:dyDescent="0.25">
      <c r="A86" s="6">
        <v>46196</v>
      </c>
      <c r="B86" t="s">
        <v>243</v>
      </c>
      <c r="C86" t="s">
        <v>196</v>
      </c>
      <c r="D86" t="s">
        <v>20</v>
      </c>
      <c r="E86" t="s">
        <v>27</v>
      </c>
      <c r="F86" t="s">
        <v>42</v>
      </c>
      <c r="G86">
        <v>8</v>
      </c>
      <c r="H86">
        <v>995.34</v>
      </c>
      <c r="I86">
        <v>5</v>
      </c>
      <c r="J86" t="s">
        <v>16</v>
      </c>
      <c r="K86">
        <f>SalesTable[[#This Row],[Quantity]]*SalesTable[[#This Row],[Unit Price]]*(1-SalesTable[[#This Row],[Discount (%)]]/100)</f>
        <v>7564.5839999999998</v>
      </c>
    </row>
    <row r="87" spans="1:11" x14ac:dyDescent="0.25">
      <c r="A87" s="6">
        <v>46113</v>
      </c>
      <c r="B87" t="s">
        <v>244</v>
      </c>
      <c r="C87" t="s">
        <v>88</v>
      </c>
      <c r="D87" t="s">
        <v>41</v>
      </c>
      <c r="E87" t="s">
        <v>33</v>
      </c>
      <c r="F87" t="s">
        <v>46</v>
      </c>
      <c r="G87">
        <v>2</v>
      </c>
      <c r="H87">
        <v>196.91</v>
      </c>
      <c r="I87">
        <v>15</v>
      </c>
      <c r="J87" t="s">
        <v>29</v>
      </c>
      <c r="K87">
        <f>SalesTable[[#This Row],[Quantity]]*SalesTable[[#This Row],[Unit Price]]*(1-SalesTable[[#This Row],[Discount (%)]]/100)</f>
        <v>334.74699999999996</v>
      </c>
    </row>
    <row r="88" spans="1:11" x14ac:dyDescent="0.25">
      <c r="A88" s="6">
        <v>46166</v>
      </c>
      <c r="B88" t="s">
        <v>246</v>
      </c>
      <c r="C88" t="s">
        <v>88</v>
      </c>
      <c r="D88" t="s">
        <v>26</v>
      </c>
      <c r="E88" t="s">
        <v>27</v>
      </c>
      <c r="F88" t="s">
        <v>28</v>
      </c>
      <c r="G88">
        <v>9</v>
      </c>
      <c r="H88">
        <v>527.09</v>
      </c>
      <c r="I88">
        <v>0</v>
      </c>
      <c r="J88" t="s">
        <v>29</v>
      </c>
      <c r="K88">
        <f>SalesTable[[#This Row],[Quantity]]*SalesTable[[#This Row],[Unit Price]]*(1-SalesTable[[#This Row],[Discount (%)]]/100)</f>
        <v>4743.8100000000004</v>
      </c>
    </row>
    <row r="89" spans="1:11" x14ac:dyDescent="0.25">
      <c r="A89" s="6">
        <v>46170</v>
      </c>
      <c r="B89" t="s">
        <v>248</v>
      </c>
      <c r="C89" t="s">
        <v>66</v>
      </c>
      <c r="D89" t="s">
        <v>13</v>
      </c>
      <c r="E89" t="s">
        <v>62</v>
      </c>
      <c r="F89" t="s">
        <v>73</v>
      </c>
      <c r="G89">
        <v>4</v>
      </c>
      <c r="H89">
        <v>1105.1500000000001</v>
      </c>
      <c r="I89">
        <v>15</v>
      </c>
      <c r="J89" t="s">
        <v>98</v>
      </c>
      <c r="K89">
        <f>SalesTable[[#This Row],[Quantity]]*SalesTable[[#This Row],[Unit Price]]*(1-SalesTable[[#This Row],[Discount (%)]]/100)</f>
        <v>3757.51</v>
      </c>
    </row>
    <row r="90" spans="1:11" x14ac:dyDescent="0.25">
      <c r="A90" s="6">
        <v>46108</v>
      </c>
      <c r="B90" t="s">
        <v>250</v>
      </c>
      <c r="C90" t="s">
        <v>251</v>
      </c>
      <c r="D90" t="s">
        <v>26</v>
      </c>
      <c r="E90" t="s">
        <v>62</v>
      </c>
      <c r="F90" t="s">
        <v>79</v>
      </c>
      <c r="G90">
        <v>9</v>
      </c>
      <c r="H90">
        <v>146.38999999999999</v>
      </c>
      <c r="I90">
        <v>5</v>
      </c>
      <c r="J90" t="s">
        <v>108</v>
      </c>
      <c r="K90">
        <f>SalesTable[[#This Row],[Quantity]]*SalesTable[[#This Row],[Unit Price]]*(1-SalesTable[[#This Row],[Discount (%)]]/100)</f>
        <v>1251.6344999999997</v>
      </c>
    </row>
    <row r="91" spans="1:11" x14ac:dyDescent="0.25">
      <c r="A91" s="6">
        <v>46184</v>
      </c>
      <c r="B91" t="s">
        <v>253</v>
      </c>
      <c r="C91" t="s">
        <v>254</v>
      </c>
      <c r="D91" t="s">
        <v>41</v>
      </c>
      <c r="E91" t="s">
        <v>27</v>
      </c>
      <c r="F91" t="s">
        <v>51</v>
      </c>
      <c r="G91">
        <v>1</v>
      </c>
      <c r="H91">
        <v>252.77</v>
      </c>
      <c r="I91">
        <v>0</v>
      </c>
      <c r="J91" t="s">
        <v>22</v>
      </c>
      <c r="K91">
        <f>SalesTable[[#This Row],[Quantity]]*SalesTable[[#This Row],[Unit Price]]*(1-SalesTable[[#This Row],[Discount (%)]]/100)</f>
        <v>252.77</v>
      </c>
    </row>
    <row r="92" spans="1:11" x14ac:dyDescent="0.25">
      <c r="A92" s="6">
        <v>46105</v>
      </c>
      <c r="B92" t="s">
        <v>255</v>
      </c>
      <c r="C92" t="s">
        <v>256</v>
      </c>
      <c r="D92" t="s">
        <v>20</v>
      </c>
      <c r="E92" t="s">
        <v>33</v>
      </c>
      <c r="F92" t="s">
        <v>34</v>
      </c>
      <c r="G92">
        <v>9</v>
      </c>
      <c r="H92">
        <v>293.5</v>
      </c>
      <c r="I92">
        <v>0</v>
      </c>
      <c r="J92" t="s">
        <v>29</v>
      </c>
      <c r="K92">
        <f>SalesTable[[#This Row],[Quantity]]*SalesTable[[#This Row],[Unit Price]]*(1-SalesTable[[#This Row],[Discount (%)]]/100)</f>
        <v>2641.5</v>
      </c>
    </row>
    <row r="93" spans="1:11" x14ac:dyDescent="0.25">
      <c r="A93" s="6">
        <v>46217</v>
      </c>
      <c r="B93" t="s">
        <v>257</v>
      </c>
      <c r="C93" t="s">
        <v>258</v>
      </c>
      <c r="D93" t="s">
        <v>20</v>
      </c>
      <c r="E93" t="s">
        <v>62</v>
      </c>
      <c r="F93" t="s">
        <v>79</v>
      </c>
      <c r="G93">
        <v>7</v>
      </c>
      <c r="H93">
        <v>385.77</v>
      </c>
      <c r="I93">
        <v>10</v>
      </c>
      <c r="J93" t="s">
        <v>29</v>
      </c>
      <c r="K93">
        <f>SalesTable[[#This Row],[Quantity]]*SalesTable[[#This Row],[Unit Price]]*(1-SalesTable[[#This Row],[Discount (%)]]/100)</f>
        <v>2430.3510000000001</v>
      </c>
    </row>
    <row r="94" spans="1:11" x14ac:dyDescent="0.25">
      <c r="A94" s="6">
        <v>46167</v>
      </c>
      <c r="B94" t="s">
        <v>260</v>
      </c>
      <c r="C94" t="s">
        <v>261</v>
      </c>
      <c r="D94" t="s">
        <v>20</v>
      </c>
      <c r="E94" t="s">
        <v>62</v>
      </c>
      <c r="F94" t="s">
        <v>73</v>
      </c>
      <c r="G94">
        <v>8</v>
      </c>
      <c r="H94">
        <v>925.37</v>
      </c>
      <c r="I94">
        <v>0</v>
      </c>
      <c r="J94" t="s">
        <v>29</v>
      </c>
      <c r="K94">
        <f>SalesTable[[#This Row],[Quantity]]*SalesTable[[#This Row],[Unit Price]]*(1-SalesTable[[#This Row],[Discount (%)]]/100)</f>
        <v>7402.96</v>
      </c>
    </row>
    <row r="95" spans="1:11" x14ac:dyDescent="0.25">
      <c r="A95" s="6">
        <v>46194</v>
      </c>
      <c r="B95" t="s">
        <v>262</v>
      </c>
      <c r="C95" t="s">
        <v>85</v>
      </c>
      <c r="D95" t="s">
        <v>13</v>
      </c>
      <c r="E95" t="s">
        <v>27</v>
      </c>
      <c r="F95" t="s">
        <v>42</v>
      </c>
      <c r="G95">
        <v>6</v>
      </c>
      <c r="H95">
        <v>505.36</v>
      </c>
      <c r="I95">
        <v>0</v>
      </c>
      <c r="J95" t="s">
        <v>29</v>
      </c>
      <c r="K95">
        <f>SalesTable[[#This Row],[Quantity]]*SalesTable[[#This Row],[Unit Price]]*(1-SalesTable[[#This Row],[Discount (%)]]/100)</f>
        <v>3032.16</v>
      </c>
    </row>
    <row r="96" spans="1:11" x14ac:dyDescent="0.25">
      <c r="A96" s="6">
        <v>46233</v>
      </c>
      <c r="B96" t="s">
        <v>264</v>
      </c>
      <c r="C96" t="s">
        <v>265</v>
      </c>
      <c r="D96" t="s">
        <v>41</v>
      </c>
      <c r="E96" t="s">
        <v>62</v>
      </c>
      <c r="F96" t="s">
        <v>73</v>
      </c>
      <c r="G96">
        <v>9</v>
      </c>
      <c r="H96">
        <v>495.19</v>
      </c>
      <c r="I96">
        <v>5</v>
      </c>
      <c r="J96" t="s">
        <v>29</v>
      </c>
      <c r="K96">
        <f>SalesTable[[#This Row],[Quantity]]*SalesTable[[#This Row],[Unit Price]]*(1-SalesTable[[#This Row],[Discount (%)]]/100)</f>
        <v>4233.8744999999999</v>
      </c>
    </row>
    <row r="97" spans="1:11" x14ac:dyDescent="0.25">
      <c r="A97" s="6">
        <v>46126</v>
      </c>
      <c r="B97" t="s">
        <v>267</v>
      </c>
      <c r="C97" t="s">
        <v>69</v>
      </c>
      <c r="D97" t="s">
        <v>41</v>
      </c>
      <c r="E97" t="s">
        <v>33</v>
      </c>
      <c r="F97" t="s">
        <v>82</v>
      </c>
      <c r="G97">
        <v>5</v>
      </c>
      <c r="H97">
        <v>600.87</v>
      </c>
      <c r="I97">
        <v>15</v>
      </c>
      <c r="J97" t="s">
        <v>16</v>
      </c>
      <c r="K97">
        <f>SalesTable[[#This Row],[Quantity]]*SalesTable[[#This Row],[Unit Price]]*(1-SalesTable[[#This Row],[Discount (%)]]/100)</f>
        <v>2553.6974999999998</v>
      </c>
    </row>
    <row r="98" spans="1:11" x14ac:dyDescent="0.25">
      <c r="A98" s="6">
        <v>46119</v>
      </c>
      <c r="B98" t="s">
        <v>268</v>
      </c>
      <c r="C98" t="s">
        <v>269</v>
      </c>
      <c r="D98" t="s">
        <v>13</v>
      </c>
      <c r="E98" t="s">
        <v>14</v>
      </c>
      <c r="F98" t="s">
        <v>15</v>
      </c>
      <c r="G98">
        <v>7</v>
      </c>
      <c r="H98">
        <v>717.21</v>
      </c>
      <c r="I98">
        <v>15</v>
      </c>
      <c r="J98" t="s">
        <v>108</v>
      </c>
      <c r="K98">
        <f>SalesTable[[#This Row],[Quantity]]*SalesTable[[#This Row],[Unit Price]]*(1-SalesTable[[#This Row],[Discount (%)]]/100)</f>
        <v>4267.3995000000004</v>
      </c>
    </row>
    <row r="99" spans="1:11" x14ac:dyDescent="0.25">
      <c r="A99" s="6">
        <v>46195</v>
      </c>
      <c r="B99" t="s">
        <v>271</v>
      </c>
      <c r="C99" t="s">
        <v>272</v>
      </c>
      <c r="D99" t="s">
        <v>20</v>
      </c>
      <c r="E99" t="s">
        <v>33</v>
      </c>
      <c r="F99" t="s">
        <v>82</v>
      </c>
      <c r="G99">
        <v>9</v>
      </c>
      <c r="H99">
        <v>1188.77</v>
      </c>
      <c r="I99">
        <v>10</v>
      </c>
      <c r="J99" t="s">
        <v>16</v>
      </c>
      <c r="K99">
        <f>SalesTable[[#This Row],[Quantity]]*SalesTable[[#This Row],[Unit Price]]*(1-SalesTable[[#This Row],[Discount (%)]]/100)</f>
        <v>9629.0370000000003</v>
      </c>
    </row>
    <row r="100" spans="1:11" x14ac:dyDescent="0.25">
      <c r="A100" s="6">
        <v>46205</v>
      </c>
      <c r="B100" t="s">
        <v>274</v>
      </c>
      <c r="C100" t="s">
        <v>275</v>
      </c>
      <c r="D100" t="s">
        <v>26</v>
      </c>
      <c r="E100" t="s">
        <v>33</v>
      </c>
      <c r="F100" t="s">
        <v>82</v>
      </c>
      <c r="G100">
        <v>6</v>
      </c>
      <c r="H100">
        <v>154.77000000000001</v>
      </c>
      <c r="I100">
        <v>0</v>
      </c>
      <c r="J100" t="s">
        <v>22</v>
      </c>
      <c r="K100">
        <f>SalesTable[[#This Row],[Quantity]]*SalesTable[[#This Row],[Unit Price]]*(1-SalesTable[[#This Row],[Discount (%)]]/100)</f>
        <v>928.62000000000012</v>
      </c>
    </row>
    <row r="101" spans="1:11" x14ac:dyDescent="0.25">
      <c r="A101" s="6">
        <v>46075</v>
      </c>
      <c r="B101" t="s">
        <v>277</v>
      </c>
      <c r="C101" t="s">
        <v>201</v>
      </c>
      <c r="D101" t="s">
        <v>20</v>
      </c>
      <c r="E101" t="s">
        <v>27</v>
      </c>
      <c r="F101" t="s">
        <v>42</v>
      </c>
      <c r="G101">
        <v>9</v>
      </c>
      <c r="H101">
        <v>938.37</v>
      </c>
      <c r="I101">
        <v>15</v>
      </c>
      <c r="J101" t="s">
        <v>22</v>
      </c>
      <c r="K101">
        <f>SalesTable[[#This Row],[Quantity]]*SalesTable[[#This Row],[Unit Price]]*(1-SalesTable[[#This Row],[Discount (%)]]/100)</f>
        <v>7178.5304999999998</v>
      </c>
    </row>
    <row r="102" spans="1:11" x14ac:dyDescent="0.25">
      <c r="A102" s="6">
        <v>46105</v>
      </c>
      <c r="B102" t="s">
        <v>278</v>
      </c>
      <c r="C102" t="s">
        <v>279</v>
      </c>
      <c r="D102" t="s">
        <v>13</v>
      </c>
      <c r="E102" t="s">
        <v>27</v>
      </c>
      <c r="F102" t="s">
        <v>51</v>
      </c>
      <c r="G102">
        <v>1</v>
      </c>
      <c r="H102">
        <v>15.63</v>
      </c>
      <c r="I102">
        <v>10</v>
      </c>
      <c r="J102" t="s">
        <v>47</v>
      </c>
      <c r="K102">
        <f>SalesTable[[#This Row],[Quantity]]*SalesTable[[#This Row],[Unit Price]]*(1-SalesTable[[#This Row],[Discount (%)]]/100)</f>
        <v>14.067</v>
      </c>
    </row>
    <row r="103" spans="1:11" x14ac:dyDescent="0.25">
      <c r="A103" s="6">
        <v>46191</v>
      </c>
      <c r="B103" t="s">
        <v>280</v>
      </c>
      <c r="C103" t="s">
        <v>272</v>
      </c>
      <c r="D103" t="s">
        <v>26</v>
      </c>
      <c r="E103" t="s">
        <v>33</v>
      </c>
      <c r="F103" t="s">
        <v>82</v>
      </c>
      <c r="G103">
        <v>7</v>
      </c>
      <c r="H103">
        <v>483.72</v>
      </c>
      <c r="I103">
        <v>0</v>
      </c>
      <c r="J103" t="s">
        <v>22</v>
      </c>
      <c r="K103">
        <f>SalesTable[[#This Row],[Quantity]]*SalesTable[[#This Row],[Unit Price]]*(1-SalesTable[[#This Row],[Discount (%)]]/100)</f>
        <v>3386.04</v>
      </c>
    </row>
    <row r="104" spans="1:11" x14ac:dyDescent="0.25">
      <c r="A104" s="6">
        <v>46197</v>
      </c>
      <c r="B104" t="s">
        <v>282</v>
      </c>
      <c r="C104" t="s">
        <v>256</v>
      </c>
      <c r="D104" t="s">
        <v>20</v>
      </c>
      <c r="E104" t="s">
        <v>14</v>
      </c>
      <c r="F104" t="s">
        <v>15</v>
      </c>
      <c r="G104">
        <v>2</v>
      </c>
      <c r="H104">
        <v>141.54</v>
      </c>
      <c r="I104">
        <v>5</v>
      </c>
      <c r="J104" t="s">
        <v>108</v>
      </c>
      <c r="K104">
        <f>SalesTable[[#This Row],[Quantity]]*SalesTable[[#This Row],[Unit Price]]*(1-SalesTable[[#This Row],[Discount (%)]]/100)</f>
        <v>268.92599999999999</v>
      </c>
    </row>
    <row r="105" spans="1:11" x14ac:dyDescent="0.25">
      <c r="A105" s="6">
        <v>46121</v>
      </c>
      <c r="B105" t="s">
        <v>284</v>
      </c>
      <c r="C105" t="s">
        <v>12</v>
      </c>
      <c r="D105" t="s">
        <v>20</v>
      </c>
      <c r="E105" t="s">
        <v>27</v>
      </c>
      <c r="F105" t="s">
        <v>28</v>
      </c>
      <c r="G105">
        <v>3</v>
      </c>
      <c r="H105">
        <v>182.68</v>
      </c>
      <c r="I105">
        <v>0</v>
      </c>
      <c r="J105" t="s">
        <v>22</v>
      </c>
      <c r="K105">
        <f>SalesTable[[#This Row],[Quantity]]*SalesTable[[#This Row],[Unit Price]]*(1-SalesTable[[#This Row],[Discount (%)]]/100)</f>
        <v>548.04</v>
      </c>
    </row>
    <row r="106" spans="1:11" x14ac:dyDescent="0.25">
      <c r="A106" s="6">
        <v>46233</v>
      </c>
      <c r="B106" t="s">
        <v>285</v>
      </c>
      <c r="C106" t="s">
        <v>72</v>
      </c>
      <c r="D106" t="s">
        <v>13</v>
      </c>
      <c r="E106" t="s">
        <v>62</v>
      </c>
      <c r="F106" t="s">
        <v>73</v>
      </c>
      <c r="G106">
        <v>3</v>
      </c>
      <c r="H106">
        <v>1168.52</v>
      </c>
      <c r="I106">
        <v>10</v>
      </c>
      <c r="J106" t="s">
        <v>29</v>
      </c>
      <c r="K106">
        <f>SalesTable[[#This Row],[Quantity]]*SalesTable[[#This Row],[Unit Price]]*(1-SalesTable[[#This Row],[Discount (%)]]/100)</f>
        <v>3155.0039999999999</v>
      </c>
    </row>
    <row r="107" spans="1:11" x14ac:dyDescent="0.25">
      <c r="A107" s="6">
        <v>46085</v>
      </c>
      <c r="B107" t="s">
        <v>286</v>
      </c>
      <c r="C107" t="s">
        <v>112</v>
      </c>
      <c r="D107" t="s">
        <v>20</v>
      </c>
      <c r="E107" t="s">
        <v>27</v>
      </c>
      <c r="F107" t="s">
        <v>42</v>
      </c>
      <c r="G107">
        <v>8</v>
      </c>
      <c r="H107">
        <v>898.35</v>
      </c>
      <c r="I107">
        <v>5</v>
      </c>
      <c r="J107" t="s">
        <v>29</v>
      </c>
      <c r="K107">
        <f>SalesTable[[#This Row],[Quantity]]*SalesTable[[#This Row],[Unit Price]]*(1-SalesTable[[#This Row],[Discount (%)]]/100)</f>
        <v>6827.46</v>
      </c>
    </row>
    <row r="108" spans="1:11" x14ac:dyDescent="0.25">
      <c r="A108" s="6">
        <v>46143</v>
      </c>
      <c r="B108" t="s">
        <v>287</v>
      </c>
      <c r="C108" t="s">
        <v>142</v>
      </c>
      <c r="D108" t="s">
        <v>41</v>
      </c>
      <c r="E108" t="s">
        <v>14</v>
      </c>
      <c r="F108" t="s">
        <v>21</v>
      </c>
      <c r="G108">
        <v>5</v>
      </c>
      <c r="H108">
        <v>829.57</v>
      </c>
      <c r="I108">
        <v>5</v>
      </c>
      <c r="J108" t="s">
        <v>29</v>
      </c>
      <c r="K108">
        <f>SalesTable[[#This Row],[Quantity]]*SalesTable[[#This Row],[Unit Price]]*(1-SalesTable[[#This Row],[Discount (%)]]/100)</f>
        <v>3940.4575</v>
      </c>
    </row>
    <row r="109" spans="1:11" x14ac:dyDescent="0.25">
      <c r="A109" s="6">
        <v>46038</v>
      </c>
      <c r="B109" t="s">
        <v>288</v>
      </c>
      <c r="C109" t="s">
        <v>289</v>
      </c>
      <c r="D109" t="s">
        <v>41</v>
      </c>
      <c r="E109" t="s">
        <v>14</v>
      </c>
      <c r="F109" t="s">
        <v>21</v>
      </c>
      <c r="G109">
        <v>2</v>
      </c>
      <c r="H109">
        <v>239.25</v>
      </c>
      <c r="I109">
        <v>15</v>
      </c>
      <c r="J109" t="s">
        <v>22</v>
      </c>
      <c r="K109">
        <f>SalesTable[[#This Row],[Quantity]]*SalesTable[[#This Row],[Unit Price]]*(1-SalesTable[[#This Row],[Discount (%)]]/100)</f>
        <v>406.72499999999997</v>
      </c>
    </row>
    <row r="110" spans="1:11" x14ac:dyDescent="0.25">
      <c r="A110" s="6">
        <v>46228</v>
      </c>
      <c r="B110" t="s">
        <v>290</v>
      </c>
      <c r="C110" t="s">
        <v>204</v>
      </c>
      <c r="D110" t="s">
        <v>26</v>
      </c>
      <c r="E110" t="s">
        <v>14</v>
      </c>
      <c r="F110" t="s">
        <v>15</v>
      </c>
      <c r="G110">
        <v>5</v>
      </c>
      <c r="H110">
        <v>143.22999999999999</v>
      </c>
      <c r="I110">
        <v>10</v>
      </c>
      <c r="J110" t="s">
        <v>22</v>
      </c>
      <c r="K110">
        <f>SalesTable[[#This Row],[Quantity]]*SalesTable[[#This Row],[Unit Price]]*(1-SalesTable[[#This Row],[Discount (%)]]/100)</f>
        <v>644.53499999999997</v>
      </c>
    </row>
    <row r="111" spans="1:11" x14ac:dyDescent="0.25">
      <c r="A111" s="6">
        <v>46091</v>
      </c>
      <c r="B111" t="s">
        <v>292</v>
      </c>
      <c r="C111" t="s">
        <v>40</v>
      </c>
      <c r="D111" t="s">
        <v>41</v>
      </c>
      <c r="E111" t="s">
        <v>62</v>
      </c>
      <c r="F111" t="s">
        <v>73</v>
      </c>
      <c r="G111">
        <v>10</v>
      </c>
      <c r="H111">
        <v>934.05</v>
      </c>
      <c r="I111">
        <v>15</v>
      </c>
      <c r="J111" t="s">
        <v>29</v>
      </c>
      <c r="K111">
        <f>SalesTable[[#This Row],[Quantity]]*SalesTable[[#This Row],[Unit Price]]*(1-SalesTable[[#This Row],[Discount (%)]]/100)</f>
        <v>7939.4250000000002</v>
      </c>
    </row>
    <row r="112" spans="1:11" x14ac:dyDescent="0.25">
      <c r="A112" s="6">
        <v>46162</v>
      </c>
      <c r="B112" t="s">
        <v>294</v>
      </c>
      <c r="C112" t="s">
        <v>168</v>
      </c>
      <c r="D112" t="s">
        <v>20</v>
      </c>
      <c r="E112" t="s">
        <v>14</v>
      </c>
      <c r="F112" t="s">
        <v>21</v>
      </c>
      <c r="G112">
        <v>10</v>
      </c>
      <c r="H112">
        <v>866.49</v>
      </c>
      <c r="I112">
        <v>0</v>
      </c>
      <c r="J112" t="s">
        <v>108</v>
      </c>
      <c r="K112">
        <f>SalesTable[[#This Row],[Quantity]]*SalesTable[[#This Row],[Unit Price]]*(1-SalesTable[[#This Row],[Discount (%)]]/100)</f>
        <v>8664.9</v>
      </c>
    </row>
    <row r="113" spans="1:11" x14ac:dyDescent="0.25">
      <c r="A113" s="6">
        <v>46233</v>
      </c>
      <c r="B113" t="s">
        <v>295</v>
      </c>
      <c r="C113" t="s">
        <v>12</v>
      </c>
      <c r="D113" t="s">
        <v>20</v>
      </c>
      <c r="E113" t="s">
        <v>33</v>
      </c>
      <c r="F113" t="s">
        <v>46</v>
      </c>
      <c r="G113">
        <v>9</v>
      </c>
      <c r="H113">
        <v>242.66</v>
      </c>
      <c r="I113">
        <v>5</v>
      </c>
      <c r="J113" t="s">
        <v>16</v>
      </c>
      <c r="K113">
        <f>SalesTable[[#This Row],[Quantity]]*SalesTable[[#This Row],[Unit Price]]*(1-SalesTable[[#This Row],[Discount (%)]]/100)</f>
        <v>2074.7429999999999</v>
      </c>
    </row>
    <row r="114" spans="1:11" x14ac:dyDescent="0.25">
      <c r="A114" s="6">
        <v>46192</v>
      </c>
      <c r="B114" t="s">
        <v>296</v>
      </c>
      <c r="C114" t="s">
        <v>272</v>
      </c>
      <c r="D114" t="s">
        <v>13</v>
      </c>
      <c r="E114" t="s">
        <v>62</v>
      </c>
      <c r="F114" t="s">
        <v>92</v>
      </c>
      <c r="G114">
        <v>6</v>
      </c>
      <c r="H114">
        <v>665.15</v>
      </c>
      <c r="I114">
        <v>15</v>
      </c>
      <c r="J114" t="s">
        <v>29</v>
      </c>
      <c r="K114">
        <f>SalesTable[[#This Row],[Quantity]]*SalesTable[[#This Row],[Unit Price]]*(1-SalesTable[[#This Row],[Discount (%)]]/100)</f>
        <v>3392.2649999999994</v>
      </c>
    </row>
    <row r="115" spans="1:11" x14ac:dyDescent="0.25">
      <c r="A115" s="6">
        <v>46077</v>
      </c>
      <c r="B115" t="s">
        <v>298</v>
      </c>
      <c r="C115" t="s">
        <v>19</v>
      </c>
      <c r="D115" t="s">
        <v>20</v>
      </c>
      <c r="E115" t="s">
        <v>14</v>
      </c>
      <c r="F115" t="s">
        <v>15</v>
      </c>
      <c r="G115">
        <v>5</v>
      </c>
      <c r="H115">
        <v>410.97</v>
      </c>
      <c r="I115">
        <v>0</v>
      </c>
      <c r="J115" t="s">
        <v>47</v>
      </c>
      <c r="K115">
        <f>SalesTable[[#This Row],[Quantity]]*SalesTable[[#This Row],[Unit Price]]*(1-SalesTable[[#This Row],[Discount (%)]]/100)</f>
        <v>2054.8500000000004</v>
      </c>
    </row>
    <row r="116" spans="1:11" x14ac:dyDescent="0.25">
      <c r="A116" s="6">
        <v>46218</v>
      </c>
      <c r="B116" t="s">
        <v>300</v>
      </c>
      <c r="C116" t="s">
        <v>204</v>
      </c>
      <c r="D116" t="s">
        <v>41</v>
      </c>
      <c r="E116" t="s">
        <v>27</v>
      </c>
      <c r="F116" t="s">
        <v>51</v>
      </c>
      <c r="G116">
        <v>3</v>
      </c>
      <c r="H116">
        <v>52.02</v>
      </c>
      <c r="I116">
        <v>0</v>
      </c>
      <c r="J116" t="s">
        <v>16</v>
      </c>
      <c r="K116">
        <f>SalesTable[[#This Row],[Quantity]]*SalesTable[[#This Row],[Unit Price]]*(1-SalesTable[[#This Row],[Discount (%)]]/100)</f>
        <v>156.06</v>
      </c>
    </row>
    <row r="117" spans="1:11" x14ac:dyDescent="0.25">
      <c r="A117" s="6">
        <v>46037</v>
      </c>
      <c r="B117" t="s">
        <v>302</v>
      </c>
      <c r="C117" t="s">
        <v>213</v>
      </c>
      <c r="D117" t="s">
        <v>20</v>
      </c>
      <c r="E117" t="s">
        <v>33</v>
      </c>
      <c r="F117" t="s">
        <v>82</v>
      </c>
      <c r="G117">
        <v>9</v>
      </c>
      <c r="H117">
        <v>464.98</v>
      </c>
      <c r="I117">
        <v>0</v>
      </c>
      <c r="J117" t="s">
        <v>16</v>
      </c>
      <c r="K117">
        <f>SalesTable[[#This Row],[Quantity]]*SalesTable[[#This Row],[Unit Price]]*(1-SalesTable[[#This Row],[Discount (%)]]/100)</f>
        <v>4184.82</v>
      </c>
    </row>
    <row r="118" spans="1:11" x14ac:dyDescent="0.25">
      <c r="A118" s="6">
        <v>46141</v>
      </c>
      <c r="B118" t="s">
        <v>303</v>
      </c>
      <c r="C118" t="s">
        <v>269</v>
      </c>
      <c r="D118" t="s">
        <v>26</v>
      </c>
      <c r="E118" t="s">
        <v>62</v>
      </c>
      <c r="F118" t="s">
        <v>79</v>
      </c>
      <c r="G118">
        <v>1</v>
      </c>
      <c r="H118">
        <v>272.16000000000003</v>
      </c>
      <c r="I118">
        <v>15</v>
      </c>
      <c r="J118" t="s">
        <v>108</v>
      </c>
      <c r="K118">
        <f>SalesTable[[#This Row],[Quantity]]*SalesTable[[#This Row],[Unit Price]]*(1-SalesTable[[#This Row],[Discount (%)]]/100)</f>
        <v>231.33600000000001</v>
      </c>
    </row>
    <row r="119" spans="1:11" x14ac:dyDescent="0.25">
      <c r="A119" s="6">
        <v>46108</v>
      </c>
      <c r="B119" t="s">
        <v>304</v>
      </c>
      <c r="C119" t="s">
        <v>201</v>
      </c>
      <c r="D119" t="s">
        <v>26</v>
      </c>
      <c r="E119" t="s">
        <v>33</v>
      </c>
      <c r="F119" t="s">
        <v>34</v>
      </c>
      <c r="G119">
        <v>5</v>
      </c>
      <c r="H119">
        <v>417.25</v>
      </c>
      <c r="I119">
        <v>10</v>
      </c>
      <c r="J119" t="s">
        <v>16</v>
      </c>
      <c r="K119">
        <f>SalesTable[[#This Row],[Quantity]]*SalesTable[[#This Row],[Unit Price]]*(1-SalesTable[[#This Row],[Discount (%)]]/100)</f>
        <v>1877.625</v>
      </c>
    </row>
    <row r="120" spans="1:11" x14ac:dyDescent="0.25">
      <c r="A120" s="6">
        <v>46048</v>
      </c>
      <c r="B120" t="s">
        <v>306</v>
      </c>
      <c r="C120" t="s">
        <v>307</v>
      </c>
      <c r="D120" t="s">
        <v>41</v>
      </c>
      <c r="E120" t="s">
        <v>33</v>
      </c>
      <c r="F120" t="s">
        <v>34</v>
      </c>
      <c r="G120">
        <v>4</v>
      </c>
      <c r="H120">
        <v>79.12</v>
      </c>
      <c r="I120">
        <v>15</v>
      </c>
      <c r="J120" t="s">
        <v>47</v>
      </c>
      <c r="K120">
        <f>SalesTable[[#This Row],[Quantity]]*SalesTable[[#This Row],[Unit Price]]*(1-SalesTable[[#This Row],[Discount (%)]]/100)</f>
        <v>269.00799999999998</v>
      </c>
    </row>
    <row r="121" spans="1:11" x14ac:dyDescent="0.25">
      <c r="A121" s="6">
        <v>46043</v>
      </c>
      <c r="B121" t="s">
        <v>309</v>
      </c>
      <c r="C121" t="s">
        <v>50</v>
      </c>
      <c r="D121" t="s">
        <v>41</v>
      </c>
      <c r="E121" t="s">
        <v>14</v>
      </c>
      <c r="F121" t="s">
        <v>15</v>
      </c>
      <c r="G121">
        <v>6</v>
      </c>
      <c r="H121">
        <v>22.12</v>
      </c>
      <c r="I121">
        <v>10</v>
      </c>
      <c r="J121" t="s">
        <v>98</v>
      </c>
      <c r="K121">
        <f>SalesTable[[#This Row],[Quantity]]*SalesTable[[#This Row],[Unit Price]]*(1-SalesTable[[#This Row],[Discount (%)]]/100)</f>
        <v>119.44800000000001</v>
      </c>
    </row>
    <row r="122" spans="1:11" x14ac:dyDescent="0.25">
      <c r="A122" s="6">
        <v>46049</v>
      </c>
      <c r="B122" t="s">
        <v>310</v>
      </c>
      <c r="C122" t="s">
        <v>256</v>
      </c>
      <c r="D122" t="s">
        <v>13</v>
      </c>
      <c r="E122" t="s">
        <v>33</v>
      </c>
      <c r="F122" t="s">
        <v>46</v>
      </c>
      <c r="G122">
        <v>10</v>
      </c>
      <c r="H122">
        <v>752.55</v>
      </c>
      <c r="I122">
        <v>15</v>
      </c>
      <c r="J122" t="s">
        <v>29</v>
      </c>
      <c r="K122">
        <f>SalesTable[[#This Row],[Quantity]]*SalesTable[[#This Row],[Unit Price]]*(1-SalesTable[[#This Row],[Discount (%)]]/100)</f>
        <v>6396.6750000000002</v>
      </c>
    </row>
    <row r="123" spans="1:11" x14ac:dyDescent="0.25">
      <c r="A123" s="6">
        <v>46039</v>
      </c>
      <c r="B123" t="s">
        <v>312</v>
      </c>
      <c r="C123" t="s">
        <v>91</v>
      </c>
      <c r="D123" t="s">
        <v>26</v>
      </c>
      <c r="E123" t="s">
        <v>62</v>
      </c>
      <c r="F123" t="s">
        <v>79</v>
      </c>
      <c r="G123">
        <v>1</v>
      </c>
      <c r="H123">
        <v>403.18</v>
      </c>
      <c r="I123">
        <v>5</v>
      </c>
      <c r="J123" t="s">
        <v>29</v>
      </c>
      <c r="K123">
        <f>SalesTable[[#This Row],[Quantity]]*SalesTable[[#This Row],[Unit Price]]*(1-SalesTable[[#This Row],[Discount (%)]]/100)</f>
        <v>383.02100000000002</v>
      </c>
    </row>
    <row r="124" spans="1:11" x14ac:dyDescent="0.25">
      <c r="A124" s="6">
        <v>46108</v>
      </c>
      <c r="B124" t="s">
        <v>313</v>
      </c>
      <c r="C124" t="s">
        <v>314</v>
      </c>
      <c r="D124" t="s">
        <v>41</v>
      </c>
      <c r="E124" t="s">
        <v>27</v>
      </c>
      <c r="F124" t="s">
        <v>51</v>
      </c>
      <c r="G124">
        <v>8</v>
      </c>
      <c r="H124">
        <v>72.61</v>
      </c>
      <c r="I124">
        <v>15</v>
      </c>
      <c r="J124" t="s">
        <v>29</v>
      </c>
      <c r="K124">
        <f>SalesTable[[#This Row],[Quantity]]*SalesTable[[#This Row],[Unit Price]]*(1-SalesTable[[#This Row],[Discount (%)]]/100)</f>
        <v>493.74799999999999</v>
      </c>
    </row>
    <row r="125" spans="1:11" x14ac:dyDescent="0.25">
      <c r="A125" s="6">
        <v>46079</v>
      </c>
      <c r="B125" t="s">
        <v>315</v>
      </c>
      <c r="C125" t="s">
        <v>168</v>
      </c>
      <c r="D125" t="s">
        <v>13</v>
      </c>
      <c r="E125" t="s">
        <v>14</v>
      </c>
      <c r="F125" t="s">
        <v>21</v>
      </c>
      <c r="G125">
        <v>8</v>
      </c>
      <c r="H125">
        <v>724.57</v>
      </c>
      <c r="I125">
        <v>5</v>
      </c>
      <c r="J125" t="s">
        <v>47</v>
      </c>
      <c r="K125">
        <f>SalesTable[[#This Row],[Quantity]]*SalesTable[[#This Row],[Unit Price]]*(1-SalesTable[[#This Row],[Discount (%)]]/100)</f>
        <v>5506.732</v>
      </c>
    </row>
    <row r="126" spans="1:11" x14ac:dyDescent="0.25">
      <c r="A126" s="6">
        <v>46139</v>
      </c>
      <c r="B126" t="s">
        <v>317</v>
      </c>
      <c r="C126" t="s">
        <v>318</v>
      </c>
      <c r="D126" t="s">
        <v>41</v>
      </c>
      <c r="E126" t="s">
        <v>62</v>
      </c>
      <c r="F126" t="s">
        <v>79</v>
      </c>
      <c r="G126">
        <v>3</v>
      </c>
      <c r="H126">
        <v>262.39</v>
      </c>
      <c r="I126">
        <v>15</v>
      </c>
      <c r="J126" t="s">
        <v>47</v>
      </c>
      <c r="K126">
        <f>SalesTable[[#This Row],[Quantity]]*SalesTable[[#This Row],[Unit Price]]*(1-SalesTable[[#This Row],[Discount (%)]]/100)</f>
        <v>669.09449999999993</v>
      </c>
    </row>
    <row r="127" spans="1:11" x14ac:dyDescent="0.25">
      <c r="A127" s="6">
        <v>46171</v>
      </c>
      <c r="B127" t="s">
        <v>320</v>
      </c>
      <c r="C127" t="s">
        <v>196</v>
      </c>
      <c r="D127" t="s">
        <v>13</v>
      </c>
      <c r="E127" t="s">
        <v>62</v>
      </c>
      <c r="F127" t="s">
        <v>73</v>
      </c>
      <c r="G127">
        <v>4</v>
      </c>
      <c r="H127">
        <v>13.06</v>
      </c>
      <c r="I127">
        <v>15</v>
      </c>
      <c r="J127" t="s">
        <v>29</v>
      </c>
      <c r="K127">
        <f>SalesTable[[#This Row],[Quantity]]*SalesTable[[#This Row],[Unit Price]]*(1-SalesTable[[#This Row],[Discount (%)]]/100)</f>
        <v>44.404000000000003</v>
      </c>
    </row>
    <row r="128" spans="1:11" x14ac:dyDescent="0.25">
      <c r="A128" s="6">
        <v>46033</v>
      </c>
      <c r="B128" t="s">
        <v>322</v>
      </c>
      <c r="C128" t="s">
        <v>107</v>
      </c>
      <c r="D128" t="s">
        <v>13</v>
      </c>
      <c r="E128" t="s">
        <v>33</v>
      </c>
      <c r="F128" t="s">
        <v>46</v>
      </c>
      <c r="G128">
        <v>4</v>
      </c>
      <c r="H128">
        <v>63.05</v>
      </c>
      <c r="I128">
        <v>10</v>
      </c>
      <c r="J128" t="s">
        <v>29</v>
      </c>
      <c r="K128">
        <f>SalesTable[[#This Row],[Quantity]]*SalesTable[[#This Row],[Unit Price]]*(1-SalesTable[[#This Row],[Discount (%)]]/100)</f>
        <v>226.98</v>
      </c>
    </row>
    <row r="129" spans="1:11" x14ac:dyDescent="0.25">
      <c r="A129" s="6">
        <v>46149</v>
      </c>
      <c r="B129" t="s">
        <v>324</v>
      </c>
      <c r="C129" t="s">
        <v>318</v>
      </c>
      <c r="D129" t="s">
        <v>13</v>
      </c>
      <c r="E129" t="s">
        <v>62</v>
      </c>
      <c r="F129" t="s">
        <v>73</v>
      </c>
      <c r="G129">
        <v>9</v>
      </c>
      <c r="H129">
        <v>176.8</v>
      </c>
      <c r="I129">
        <v>15</v>
      </c>
      <c r="J129" t="s">
        <v>16</v>
      </c>
      <c r="K129">
        <f>SalesTable[[#This Row],[Quantity]]*SalesTable[[#This Row],[Unit Price]]*(1-SalesTable[[#This Row],[Discount (%)]]/100)</f>
        <v>1352.52</v>
      </c>
    </row>
    <row r="130" spans="1:11" x14ac:dyDescent="0.25">
      <c r="A130" s="6">
        <v>46209</v>
      </c>
      <c r="B130" t="s">
        <v>325</v>
      </c>
      <c r="C130" t="s">
        <v>201</v>
      </c>
      <c r="D130" t="s">
        <v>26</v>
      </c>
      <c r="E130" t="s">
        <v>33</v>
      </c>
      <c r="F130" t="s">
        <v>34</v>
      </c>
      <c r="G130">
        <v>5</v>
      </c>
      <c r="H130">
        <v>857.32</v>
      </c>
      <c r="I130">
        <v>5</v>
      </c>
      <c r="J130" t="s">
        <v>47</v>
      </c>
      <c r="K130">
        <f>SalesTable[[#This Row],[Quantity]]*SalesTable[[#This Row],[Unit Price]]*(1-SalesTable[[#This Row],[Discount (%)]]/100)</f>
        <v>4072.27</v>
      </c>
    </row>
    <row r="131" spans="1:11" x14ac:dyDescent="0.25">
      <c r="A131" s="6">
        <v>46132</v>
      </c>
      <c r="B131" t="s">
        <v>326</v>
      </c>
      <c r="C131" t="s">
        <v>272</v>
      </c>
      <c r="D131" t="s">
        <v>26</v>
      </c>
      <c r="E131" t="s">
        <v>62</v>
      </c>
      <c r="F131" t="s">
        <v>92</v>
      </c>
      <c r="G131">
        <v>3</v>
      </c>
      <c r="H131">
        <v>482.23</v>
      </c>
      <c r="I131">
        <v>0</v>
      </c>
      <c r="J131" t="s">
        <v>47</v>
      </c>
      <c r="K131">
        <f>SalesTable[[#This Row],[Quantity]]*SalesTable[[#This Row],[Unit Price]]*(1-SalesTable[[#This Row],[Discount (%)]]/100)</f>
        <v>1446.69</v>
      </c>
    </row>
    <row r="132" spans="1:11" x14ac:dyDescent="0.25">
      <c r="A132" s="6">
        <v>46141</v>
      </c>
      <c r="B132" t="s">
        <v>327</v>
      </c>
      <c r="C132" t="s">
        <v>72</v>
      </c>
      <c r="D132" t="s">
        <v>26</v>
      </c>
      <c r="E132" t="s">
        <v>62</v>
      </c>
      <c r="F132" t="s">
        <v>63</v>
      </c>
      <c r="G132">
        <v>5</v>
      </c>
      <c r="H132">
        <v>1032.9000000000001</v>
      </c>
      <c r="I132">
        <v>5</v>
      </c>
      <c r="J132" t="s">
        <v>29</v>
      </c>
      <c r="K132">
        <f>SalesTable[[#This Row],[Quantity]]*SalesTable[[#This Row],[Unit Price]]*(1-SalesTable[[#This Row],[Discount (%)]]/100)</f>
        <v>4906.2749999999996</v>
      </c>
    </row>
    <row r="133" spans="1:11" x14ac:dyDescent="0.25">
      <c r="A133" s="6">
        <v>46040</v>
      </c>
      <c r="B133" t="s">
        <v>329</v>
      </c>
      <c r="C133" t="s">
        <v>251</v>
      </c>
      <c r="D133" t="s">
        <v>26</v>
      </c>
      <c r="E133" t="s">
        <v>33</v>
      </c>
      <c r="F133" t="s">
        <v>34</v>
      </c>
      <c r="G133">
        <v>2</v>
      </c>
      <c r="H133">
        <v>1064.94</v>
      </c>
      <c r="I133">
        <v>5</v>
      </c>
      <c r="J133" t="s">
        <v>22</v>
      </c>
      <c r="K133">
        <f>SalesTable[[#This Row],[Quantity]]*SalesTable[[#This Row],[Unit Price]]*(1-SalesTable[[#This Row],[Discount (%)]]/100)</f>
        <v>2023.386</v>
      </c>
    </row>
    <row r="134" spans="1:11" x14ac:dyDescent="0.25">
      <c r="A134" s="6">
        <v>46208</v>
      </c>
      <c r="B134" t="s">
        <v>331</v>
      </c>
      <c r="C134" t="s">
        <v>222</v>
      </c>
      <c r="D134" t="s">
        <v>20</v>
      </c>
      <c r="E134" t="s">
        <v>14</v>
      </c>
      <c r="F134" t="s">
        <v>21</v>
      </c>
      <c r="G134">
        <v>10</v>
      </c>
      <c r="H134">
        <v>1080.44</v>
      </c>
      <c r="I134">
        <v>5</v>
      </c>
      <c r="J134" t="s">
        <v>98</v>
      </c>
      <c r="K134">
        <f>SalesTable[[#This Row],[Quantity]]*SalesTable[[#This Row],[Unit Price]]*(1-SalesTable[[#This Row],[Discount (%)]]/100)</f>
        <v>10264.18</v>
      </c>
    </row>
    <row r="135" spans="1:11" x14ac:dyDescent="0.25">
      <c r="A135" s="6">
        <v>46217</v>
      </c>
      <c r="B135" t="s">
        <v>332</v>
      </c>
      <c r="C135" t="s">
        <v>333</v>
      </c>
      <c r="D135" t="s">
        <v>13</v>
      </c>
      <c r="E135" t="s">
        <v>62</v>
      </c>
      <c r="F135" t="s">
        <v>79</v>
      </c>
      <c r="G135">
        <v>4</v>
      </c>
      <c r="H135">
        <v>15.9</v>
      </c>
      <c r="I135">
        <v>10</v>
      </c>
      <c r="J135" t="s">
        <v>29</v>
      </c>
      <c r="K135">
        <f>SalesTable[[#This Row],[Quantity]]*SalesTable[[#This Row],[Unit Price]]*(1-SalesTable[[#This Row],[Discount (%)]]/100)</f>
        <v>57.24</v>
      </c>
    </row>
    <row r="136" spans="1:11" x14ac:dyDescent="0.25">
      <c r="A136" s="6">
        <v>46233</v>
      </c>
      <c r="B136" t="s">
        <v>334</v>
      </c>
      <c r="C136" t="s">
        <v>229</v>
      </c>
      <c r="D136" t="s">
        <v>26</v>
      </c>
      <c r="E136" t="s">
        <v>27</v>
      </c>
      <c r="F136" t="s">
        <v>28</v>
      </c>
      <c r="G136">
        <v>3</v>
      </c>
      <c r="H136">
        <v>901.08</v>
      </c>
      <c r="I136">
        <v>15</v>
      </c>
      <c r="J136" t="s">
        <v>29</v>
      </c>
      <c r="K136">
        <f>SalesTable[[#This Row],[Quantity]]*SalesTable[[#This Row],[Unit Price]]*(1-SalesTable[[#This Row],[Discount (%)]]/100)</f>
        <v>2297.7540000000004</v>
      </c>
    </row>
    <row r="137" spans="1:11" x14ac:dyDescent="0.25">
      <c r="A137" s="6">
        <v>46045</v>
      </c>
      <c r="B137" t="s">
        <v>336</v>
      </c>
      <c r="C137" t="s">
        <v>135</v>
      </c>
      <c r="D137" t="s">
        <v>13</v>
      </c>
      <c r="E137" t="s">
        <v>14</v>
      </c>
      <c r="F137" t="s">
        <v>15</v>
      </c>
      <c r="G137">
        <v>4</v>
      </c>
      <c r="H137">
        <v>773.04</v>
      </c>
      <c r="I137">
        <v>10</v>
      </c>
      <c r="J137" t="s">
        <v>98</v>
      </c>
      <c r="K137">
        <f>SalesTable[[#This Row],[Quantity]]*SalesTable[[#This Row],[Unit Price]]*(1-SalesTable[[#This Row],[Discount (%)]]/100)</f>
        <v>2782.944</v>
      </c>
    </row>
    <row r="138" spans="1:11" x14ac:dyDescent="0.25">
      <c r="A138" s="6">
        <v>46167</v>
      </c>
      <c r="B138" t="s">
        <v>337</v>
      </c>
      <c r="C138" t="s">
        <v>279</v>
      </c>
      <c r="D138" t="s">
        <v>13</v>
      </c>
      <c r="E138" t="s">
        <v>27</v>
      </c>
      <c r="F138" t="s">
        <v>28</v>
      </c>
      <c r="G138">
        <v>8</v>
      </c>
      <c r="H138">
        <v>608.13</v>
      </c>
      <c r="I138">
        <v>5</v>
      </c>
      <c r="J138" t="s">
        <v>29</v>
      </c>
      <c r="K138">
        <f>SalesTable[[#This Row],[Quantity]]*SalesTable[[#This Row],[Unit Price]]*(1-SalesTable[[#This Row],[Discount (%)]]/100)</f>
        <v>4621.7879999999996</v>
      </c>
    </row>
    <row r="139" spans="1:11" x14ac:dyDescent="0.25">
      <c r="A139" s="6">
        <v>46105</v>
      </c>
      <c r="B139" t="s">
        <v>338</v>
      </c>
      <c r="C139" t="s">
        <v>251</v>
      </c>
      <c r="D139" t="s">
        <v>20</v>
      </c>
      <c r="E139" t="s">
        <v>27</v>
      </c>
      <c r="F139" t="s">
        <v>42</v>
      </c>
      <c r="G139">
        <v>9</v>
      </c>
      <c r="H139">
        <v>498.73</v>
      </c>
      <c r="I139">
        <v>10</v>
      </c>
      <c r="J139" t="s">
        <v>108</v>
      </c>
      <c r="K139">
        <f>SalesTable[[#This Row],[Quantity]]*SalesTable[[#This Row],[Unit Price]]*(1-SalesTable[[#This Row],[Discount (%)]]/100)</f>
        <v>4039.7129999999997</v>
      </c>
    </row>
    <row r="140" spans="1:11" x14ac:dyDescent="0.25">
      <c r="A140" s="6">
        <v>46094</v>
      </c>
      <c r="B140" t="s">
        <v>340</v>
      </c>
      <c r="C140" t="s">
        <v>132</v>
      </c>
      <c r="D140" t="s">
        <v>26</v>
      </c>
      <c r="E140" t="s">
        <v>27</v>
      </c>
      <c r="F140" t="s">
        <v>28</v>
      </c>
      <c r="G140">
        <v>7</v>
      </c>
      <c r="H140">
        <v>1128.5999999999999</v>
      </c>
      <c r="I140">
        <v>15</v>
      </c>
      <c r="J140" t="s">
        <v>47</v>
      </c>
      <c r="K140">
        <f>SalesTable[[#This Row],[Quantity]]*SalesTable[[#This Row],[Unit Price]]*(1-SalesTable[[#This Row],[Discount (%)]]/100)</f>
        <v>6715.1699999999992</v>
      </c>
    </row>
    <row r="141" spans="1:11" x14ac:dyDescent="0.25">
      <c r="A141" s="6">
        <v>46140</v>
      </c>
      <c r="B141" t="s">
        <v>341</v>
      </c>
      <c r="C141" t="s">
        <v>32</v>
      </c>
      <c r="D141" t="s">
        <v>26</v>
      </c>
      <c r="E141" t="s">
        <v>62</v>
      </c>
      <c r="F141" t="s">
        <v>73</v>
      </c>
      <c r="G141">
        <v>1</v>
      </c>
      <c r="H141">
        <v>33.6</v>
      </c>
      <c r="I141">
        <v>5</v>
      </c>
      <c r="J141" t="s">
        <v>98</v>
      </c>
      <c r="K141">
        <f>SalesTable[[#This Row],[Quantity]]*SalesTable[[#This Row],[Unit Price]]*(1-SalesTable[[#This Row],[Discount (%)]]/100)</f>
        <v>31.919999999999998</v>
      </c>
    </row>
    <row r="142" spans="1:11" x14ac:dyDescent="0.25">
      <c r="A142" s="6">
        <v>46059</v>
      </c>
      <c r="B142" t="s">
        <v>343</v>
      </c>
      <c r="C142" t="s">
        <v>37</v>
      </c>
      <c r="D142" t="s">
        <v>13</v>
      </c>
      <c r="E142" t="s">
        <v>27</v>
      </c>
      <c r="F142" t="s">
        <v>42</v>
      </c>
      <c r="G142">
        <v>7</v>
      </c>
      <c r="H142">
        <v>872.22</v>
      </c>
      <c r="I142">
        <v>15</v>
      </c>
      <c r="J142" t="s">
        <v>108</v>
      </c>
      <c r="K142">
        <f>SalesTable[[#This Row],[Quantity]]*SalesTable[[#This Row],[Unit Price]]*(1-SalesTable[[#This Row],[Discount (%)]]/100)</f>
        <v>5189.7089999999998</v>
      </c>
    </row>
    <row r="143" spans="1:11" x14ac:dyDescent="0.25">
      <c r="A143" s="6">
        <v>46221</v>
      </c>
      <c r="B143" t="s">
        <v>344</v>
      </c>
      <c r="C143" t="s">
        <v>61</v>
      </c>
      <c r="D143" t="s">
        <v>20</v>
      </c>
      <c r="E143" t="s">
        <v>33</v>
      </c>
      <c r="F143" t="s">
        <v>46</v>
      </c>
      <c r="G143">
        <v>5</v>
      </c>
      <c r="H143">
        <v>887.18</v>
      </c>
      <c r="I143">
        <v>15</v>
      </c>
      <c r="J143" t="s">
        <v>29</v>
      </c>
      <c r="K143">
        <f>SalesTable[[#This Row],[Quantity]]*SalesTable[[#This Row],[Unit Price]]*(1-SalesTable[[#This Row],[Discount (%)]]/100)</f>
        <v>3770.5149999999994</v>
      </c>
    </row>
    <row r="144" spans="1:11" x14ac:dyDescent="0.25">
      <c r="A144" s="6">
        <v>46133</v>
      </c>
      <c r="B144" t="s">
        <v>345</v>
      </c>
      <c r="C144" t="s">
        <v>346</v>
      </c>
      <c r="D144" t="s">
        <v>20</v>
      </c>
      <c r="E144" t="s">
        <v>62</v>
      </c>
      <c r="F144" t="s">
        <v>92</v>
      </c>
      <c r="G144">
        <v>4</v>
      </c>
      <c r="H144">
        <v>36.42</v>
      </c>
      <c r="I144">
        <v>5</v>
      </c>
      <c r="J144" t="s">
        <v>29</v>
      </c>
      <c r="K144">
        <f>SalesTable[[#This Row],[Quantity]]*SalesTable[[#This Row],[Unit Price]]*(1-SalesTable[[#This Row],[Discount (%)]]/100)</f>
        <v>138.39599999999999</v>
      </c>
    </row>
    <row r="145" spans="1:11" x14ac:dyDescent="0.25">
      <c r="A145" s="6">
        <v>46102</v>
      </c>
      <c r="B145" t="s">
        <v>347</v>
      </c>
      <c r="C145" t="s">
        <v>61</v>
      </c>
      <c r="D145" t="s">
        <v>13</v>
      </c>
      <c r="E145" t="s">
        <v>62</v>
      </c>
      <c r="F145" t="s">
        <v>79</v>
      </c>
      <c r="G145">
        <v>6</v>
      </c>
      <c r="H145">
        <v>323.42</v>
      </c>
      <c r="I145">
        <v>10</v>
      </c>
      <c r="J145" t="s">
        <v>98</v>
      </c>
      <c r="K145">
        <f>SalesTable[[#This Row],[Quantity]]*SalesTable[[#This Row],[Unit Price]]*(1-SalesTable[[#This Row],[Discount (%)]]/100)</f>
        <v>1746.4680000000001</v>
      </c>
    </row>
    <row r="146" spans="1:11" x14ac:dyDescent="0.25">
      <c r="A146" s="6">
        <v>46043</v>
      </c>
      <c r="B146" t="s">
        <v>348</v>
      </c>
      <c r="C146" t="s">
        <v>142</v>
      </c>
      <c r="D146" t="s">
        <v>20</v>
      </c>
      <c r="E146" t="s">
        <v>27</v>
      </c>
      <c r="F146" t="s">
        <v>42</v>
      </c>
      <c r="G146">
        <v>8</v>
      </c>
      <c r="H146">
        <v>1107.46</v>
      </c>
      <c r="I146">
        <v>15</v>
      </c>
      <c r="J146" t="s">
        <v>16</v>
      </c>
      <c r="K146">
        <f>SalesTable[[#This Row],[Quantity]]*SalesTable[[#This Row],[Unit Price]]*(1-SalesTable[[#This Row],[Discount (%)]]/100)</f>
        <v>7530.7280000000001</v>
      </c>
    </row>
    <row r="147" spans="1:11" x14ac:dyDescent="0.25">
      <c r="A147" s="6">
        <v>46130</v>
      </c>
      <c r="B147" t="s">
        <v>350</v>
      </c>
      <c r="C147" t="s">
        <v>150</v>
      </c>
      <c r="D147" t="s">
        <v>20</v>
      </c>
      <c r="E147" t="s">
        <v>33</v>
      </c>
      <c r="F147" t="s">
        <v>46</v>
      </c>
      <c r="G147">
        <v>9</v>
      </c>
      <c r="H147">
        <v>616.07000000000005</v>
      </c>
      <c r="I147">
        <v>5</v>
      </c>
      <c r="J147" t="s">
        <v>16</v>
      </c>
      <c r="K147">
        <f>SalesTable[[#This Row],[Quantity]]*SalesTable[[#This Row],[Unit Price]]*(1-SalesTable[[#This Row],[Discount (%)]]/100)</f>
        <v>5267.3985000000002</v>
      </c>
    </row>
    <row r="148" spans="1:11" x14ac:dyDescent="0.25">
      <c r="A148" s="6">
        <v>46121</v>
      </c>
      <c r="B148" t="s">
        <v>351</v>
      </c>
      <c r="C148" t="s">
        <v>352</v>
      </c>
      <c r="D148" t="s">
        <v>41</v>
      </c>
      <c r="E148" t="s">
        <v>14</v>
      </c>
      <c r="F148" t="s">
        <v>15</v>
      </c>
      <c r="G148">
        <v>4</v>
      </c>
      <c r="H148">
        <v>165.6</v>
      </c>
      <c r="I148">
        <v>0</v>
      </c>
      <c r="J148" t="s">
        <v>16</v>
      </c>
      <c r="K148">
        <f>SalesTable[[#This Row],[Quantity]]*SalesTable[[#This Row],[Unit Price]]*(1-SalesTable[[#This Row],[Discount (%)]]/100)</f>
        <v>662.4</v>
      </c>
    </row>
    <row r="149" spans="1:11" x14ac:dyDescent="0.25">
      <c r="A149" s="6">
        <v>46038</v>
      </c>
      <c r="B149" t="s">
        <v>353</v>
      </c>
      <c r="C149" t="s">
        <v>107</v>
      </c>
      <c r="D149" t="s">
        <v>26</v>
      </c>
      <c r="E149" t="s">
        <v>27</v>
      </c>
      <c r="F149" t="s">
        <v>51</v>
      </c>
      <c r="G149">
        <v>4</v>
      </c>
      <c r="H149">
        <v>262.48</v>
      </c>
      <c r="I149">
        <v>10</v>
      </c>
      <c r="J149" t="s">
        <v>108</v>
      </c>
      <c r="K149">
        <f>SalesTable[[#This Row],[Quantity]]*SalesTable[[#This Row],[Unit Price]]*(1-SalesTable[[#This Row],[Discount (%)]]/100)</f>
        <v>944.92800000000011</v>
      </c>
    </row>
    <row r="150" spans="1:11" x14ac:dyDescent="0.25">
      <c r="A150" s="6">
        <v>46174</v>
      </c>
      <c r="B150" t="s">
        <v>355</v>
      </c>
      <c r="C150" t="s">
        <v>356</v>
      </c>
      <c r="D150" t="s">
        <v>13</v>
      </c>
      <c r="E150" t="s">
        <v>33</v>
      </c>
      <c r="F150" t="s">
        <v>82</v>
      </c>
      <c r="G150">
        <v>5</v>
      </c>
      <c r="H150">
        <v>345.04</v>
      </c>
      <c r="I150">
        <v>10</v>
      </c>
      <c r="J150" t="s">
        <v>22</v>
      </c>
      <c r="K150">
        <f>SalesTable[[#This Row],[Quantity]]*SalesTable[[#This Row],[Unit Price]]*(1-SalesTable[[#This Row],[Discount (%)]]/100)</f>
        <v>1552.68</v>
      </c>
    </row>
    <row r="151" spans="1:11" x14ac:dyDescent="0.25">
      <c r="A151" s="6">
        <v>46077</v>
      </c>
      <c r="B151" t="s">
        <v>357</v>
      </c>
      <c r="C151" t="s">
        <v>112</v>
      </c>
      <c r="D151" t="s">
        <v>20</v>
      </c>
      <c r="E151" t="s">
        <v>62</v>
      </c>
      <c r="F151" t="s">
        <v>79</v>
      </c>
      <c r="G151">
        <v>9</v>
      </c>
      <c r="H151">
        <v>1185.22</v>
      </c>
      <c r="I151">
        <v>5</v>
      </c>
      <c r="J151" t="s">
        <v>29</v>
      </c>
      <c r="K151">
        <f>SalesTable[[#This Row],[Quantity]]*SalesTable[[#This Row],[Unit Price]]*(1-SalesTable[[#This Row],[Discount (%)]]/100)</f>
        <v>10133.630999999999</v>
      </c>
    </row>
    <row r="152" spans="1:11" x14ac:dyDescent="0.25">
      <c r="A152" s="6">
        <v>46187</v>
      </c>
      <c r="B152" t="s">
        <v>359</v>
      </c>
      <c r="C152" t="s">
        <v>256</v>
      </c>
      <c r="D152" t="s">
        <v>13</v>
      </c>
      <c r="E152" t="s">
        <v>62</v>
      </c>
      <c r="F152" t="s">
        <v>73</v>
      </c>
      <c r="G152">
        <v>5</v>
      </c>
      <c r="H152">
        <v>743.66</v>
      </c>
      <c r="I152">
        <v>10</v>
      </c>
      <c r="J152" t="s">
        <v>29</v>
      </c>
      <c r="K152">
        <f>SalesTable[[#This Row],[Quantity]]*SalesTable[[#This Row],[Unit Price]]*(1-SalesTable[[#This Row],[Discount (%)]]/100)</f>
        <v>3346.47</v>
      </c>
    </row>
    <row r="153" spans="1:11" x14ac:dyDescent="0.25">
      <c r="A153" s="6">
        <v>46233</v>
      </c>
      <c r="B153" t="s">
        <v>360</v>
      </c>
      <c r="C153" t="s">
        <v>72</v>
      </c>
      <c r="D153" t="s">
        <v>13</v>
      </c>
      <c r="E153" t="s">
        <v>62</v>
      </c>
      <c r="F153" t="s">
        <v>79</v>
      </c>
      <c r="G153">
        <v>2</v>
      </c>
      <c r="H153">
        <v>621.9</v>
      </c>
      <c r="I153">
        <v>10</v>
      </c>
      <c r="J153" t="s">
        <v>98</v>
      </c>
      <c r="K153">
        <f>SalesTable[[#This Row],[Quantity]]*SalesTable[[#This Row],[Unit Price]]*(1-SalesTable[[#This Row],[Discount (%)]]/100)</f>
        <v>1119.42</v>
      </c>
    </row>
    <row r="154" spans="1:11" x14ac:dyDescent="0.25">
      <c r="A154" s="6">
        <v>46024</v>
      </c>
      <c r="B154" t="s">
        <v>362</v>
      </c>
      <c r="C154" t="s">
        <v>204</v>
      </c>
      <c r="D154" t="s">
        <v>13</v>
      </c>
      <c r="E154" t="s">
        <v>14</v>
      </c>
      <c r="F154" t="s">
        <v>76</v>
      </c>
      <c r="G154">
        <v>10</v>
      </c>
      <c r="H154">
        <v>691.58</v>
      </c>
      <c r="I154">
        <v>10</v>
      </c>
      <c r="J154" t="s">
        <v>47</v>
      </c>
      <c r="K154">
        <f>SalesTable[[#This Row],[Quantity]]*SalesTable[[#This Row],[Unit Price]]*(1-SalesTable[[#This Row],[Discount (%)]]/100)</f>
        <v>6224.22</v>
      </c>
    </row>
    <row r="155" spans="1:11" x14ac:dyDescent="0.25">
      <c r="A155" s="6">
        <v>46206</v>
      </c>
      <c r="B155" t="s">
        <v>363</v>
      </c>
      <c r="C155" t="s">
        <v>12</v>
      </c>
      <c r="D155" t="s">
        <v>13</v>
      </c>
      <c r="E155" t="s">
        <v>27</v>
      </c>
      <c r="F155" t="s">
        <v>42</v>
      </c>
      <c r="G155">
        <v>10</v>
      </c>
      <c r="H155">
        <v>171.27</v>
      </c>
      <c r="I155">
        <v>10</v>
      </c>
      <c r="J155" t="s">
        <v>29</v>
      </c>
      <c r="K155">
        <f>SalesTable[[#This Row],[Quantity]]*SalesTable[[#This Row],[Unit Price]]*(1-SalesTable[[#This Row],[Discount (%)]]/100)</f>
        <v>1541.43</v>
      </c>
    </row>
    <row r="156" spans="1:11" x14ac:dyDescent="0.25">
      <c r="A156" s="6">
        <v>46161</v>
      </c>
      <c r="B156" t="s">
        <v>365</v>
      </c>
      <c r="C156" t="s">
        <v>258</v>
      </c>
      <c r="D156" t="s">
        <v>41</v>
      </c>
      <c r="E156" t="s">
        <v>14</v>
      </c>
      <c r="F156" t="s">
        <v>21</v>
      </c>
      <c r="G156">
        <v>4</v>
      </c>
      <c r="H156">
        <v>1001.37</v>
      </c>
      <c r="I156">
        <v>10</v>
      </c>
      <c r="J156" t="s">
        <v>98</v>
      </c>
      <c r="K156">
        <f>SalesTable[[#This Row],[Quantity]]*SalesTable[[#This Row],[Unit Price]]*(1-SalesTable[[#This Row],[Discount (%)]]/100)</f>
        <v>3604.9320000000002</v>
      </c>
    </row>
    <row r="157" spans="1:11" x14ac:dyDescent="0.25">
      <c r="A157" s="6">
        <v>46040</v>
      </c>
      <c r="B157" t="s">
        <v>366</v>
      </c>
      <c r="C157" t="s">
        <v>275</v>
      </c>
      <c r="D157" t="s">
        <v>20</v>
      </c>
      <c r="E157" t="s">
        <v>27</v>
      </c>
      <c r="F157" t="s">
        <v>51</v>
      </c>
      <c r="G157">
        <v>8</v>
      </c>
      <c r="H157">
        <v>546.23</v>
      </c>
      <c r="I157">
        <v>10</v>
      </c>
      <c r="J157" t="s">
        <v>98</v>
      </c>
      <c r="K157">
        <f>SalesTable[[#This Row],[Quantity]]*SalesTable[[#This Row],[Unit Price]]*(1-SalesTable[[#This Row],[Discount (%)]]/100)</f>
        <v>3932.8560000000002</v>
      </c>
    </row>
    <row r="158" spans="1:11" x14ac:dyDescent="0.25">
      <c r="A158" s="6">
        <v>46059</v>
      </c>
      <c r="B158" t="s">
        <v>367</v>
      </c>
      <c r="C158" t="s">
        <v>85</v>
      </c>
      <c r="D158" t="s">
        <v>26</v>
      </c>
      <c r="E158" t="s">
        <v>33</v>
      </c>
      <c r="F158" t="s">
        <v>34</v>
      </c>
      <c r="G158">
        <v>3</v>
      </c>
      <c r="H158">
        <v>120.26</v>
      </c>
      <c r="I158">
        <v>5</v>
      </c>
      <c r="J158" t="s">
        <v>29</v>
      </c>
      <c r="K158">
        <f>SalesTable[[#This Row],[Quantity]]*SalesTable[[#This Row],[Unit Price]]*(1-SalesTable[[#This Row],[Discount (%)]]/100)</f>
        <v>342.74099999999999</v>
      </c>
    </row>
    <row r="159" spans="1:11" x14ac:dyDescent="0.25">
      <c r="A159" s="6">
        <v>46116</v>
      </c>
      <c r="B159" t="s">
        <v>369</v>
      </c>
      <c r="C159" t="s">
        <v>370</v>
      </c>
      <c r="D159" t="s">
        <v>20</v>
      </c>
      <c r="E159" t="s">
        <v>14</v>
      </c>
      <c r="F159" t="s">
        <v>76</v>
      </c>
      <c r="G159">
        <v>7</v>
      </c>
      <c r="H159">
        <v>710.1</v>
      </c>
      <c r="I159">
        <v>10</v>
      </c>
      <c r="J159" t="s">
        <v>47</v>
      </c>
      <c r="K159">
        <f>SalesTable[[#This Row],[Quantity]]*SalesTable[[#This Row],[Unit Price]]*(1-SalesTable[[#This Row],[Discount (%)]]/100)</f>
        <v>4473.63</v>
      </c>
    </row>
    <row r="160" spans="1:11" x14ac:dyDescent="0.25">
      <c r="A160" s="6">
        <v>46174</v>
      </c>
      <c r="B160" t="s">
        <v>371</v>
      </c>
      <c r="C160" t="s">
        <v>275</v>
      </c>
      <c r="D160" t="s">
        <v>26</v>
      </c>
      <c r="E160" t="s">
        <v>33</v>
      </c>
      <c r="F160" t="s">
        <v>46</v>
      </c>
      <c r="G160">
        <v>9</v>
      </c>
      <c r="H160">
        <v>538.15</v>
      </c>
      <c r="I160">
        <v>10</v>
      </c>
      <c r="J160" t="s">
        <v>108</v>
      </c>
      <c r="K160">
        <f>SalesTable[[#This Row],[Quantity]]*SalesTable[[#This Row],[Unit Price]]*(1-SalesTable[[#This Row],[Discount (%)]]/100)</f>
        <v>4359.0149999999994</v>
      </c>
    </row>
    <row r="161" spans="1:11" x14ac:dyDescent="0.25">
      <c r="A161" s="6">
        <v>46182</v>
      </c>
      <c r="B161" t="s">
        <v>373</v>
      </c>
      <c r="C161" t="s">
        <v>58</v>
      </c>
      <c r="D161" t="s">
        <v>41</v>
      </c>
      <c r="E161" t="s">
        <v>33</v>
      </c>
      <c r="F161" t="s">
        <v>46</v>
      </c>
      <c r="G161">
        <v>7</v>
      </c>
      <c r="H161">
        <v>601.58000000000004</v>
      </c>
      <c r="I161">
        <v>10</v>
      </c>
      <c r="J161" t="s">
        <v>108</v>
      </c>
      <c r="K161">
        <f>SalesTable[[#This Row],[Quantity]]*SalesTable[[#This Row],[Unit Price]]*(1-SalesTable[[#This Row],[Discount (%)]]/100)</f>
        <v>3789.9540000000006</v>
      </c>
    </row>
    <row r="162" spans="1:11" x14ac:dyDescent="0.25">
      <c r="A162" s="6">
        <v>46127</v>
      </c>
      <c r="B162" t="s">
        <v>374</v>
      </c>
      <c r="C162" t="s">
        <v>40</v>
      </c>
      <c r="D162" t="s">
        <v>13</v>
      </c>
      <c r="E162" t="s">
        <v>14</v>
      </c>
      <c r="F162" t="s">
        <v>76</v>
      </c>
      <c r="G162">
        <v>4</v>
      </c>
      <c r="H162">
        <v>325.89</v>
      </c>
      <c r="I162">
        <v>10</v>
      </c>
      <c r="J162" t="s">
        <v>16</v>
      </c>
      <c r="K162">
        <f>SalesTable[[#This Row],[Quantity]]*SalesTable[[#This Row],[Unit Price]]*(1-SalesTable[[#This Row],[Discount (%)]]/100)</f>
        <v>1173.204</v>
      </c>
    </row>
    <row r="163" spans="1:11" x14ac:dyDescent="0.25">
      <c r="A163" s="6">
        <v>46046</v>
      </c>
      <c r="B163" t="s">
        <v>376</v>
      </c>
      <c r="C163" t="s">
        <v>192</v>
      </c>
      <c r="D163" t="s">
        <v>26</v>
      </c>
      <c r="E163" t="s">
        <v>62</v>
      </c>
      <c r="F163" t="s">
        <v>63</v>
      </c>
      <c r="G163">
        <v>9</v>
      </c>
      <c r="H163">
        <v>820.9</v>
      </c>
      <c r="I163">
        <v>5</v>
      </c>
      <c r="J163" t="s">
        <v>22</v>
      </c>
      <c r="K163">
        <f>SalesTable[[#This Row],[Quantity]]*SalesTable[[#This Row],[Unit Price]]*(1-SalesTable[[#This Row],[Discount (%)]]/100)</f>
        <v>7018.6949999999988</v>
      </c>
    </row>
    <row r="164" spans="1:11" x14ac:dyDescent="0.25">
      <c r="A164" s="6">
        <v>46229</v>
      </c>
      <c r="B164" t="s">
        <v>378</v>
      </c>
      <c r="C164" t="s">
        <v>379</v>
      </c>
      <c r="D164" t="s">
        <v>13</v>
      </c>
      <c r="E164" t="s">
        <v>27</v>
      </c>
      <c r="F164" t="s">
        <v>42</v>
      </c>
      <c r="G164">
        <v>5</v>
      </c>
      <c r="H164">
        <v>799.61</v>
      </c>
      <c r="I164">
        <v>0</v>
      </c>
      <c r="J164" t="s">
        <v>29</v>
      </c>
      <c r="K164">
        <f>SalesTable[[#This Row],[Quantity]]*SalesTable[[#This Row],[Unit Price]]*(1-SalesTable[[#This Row],[Discount (%)]]/100)</f>
        <v>3998.05</v>
      </c>
    </row>
    <row r="165" spans="1:11" x14ac:dyDescent="0.25">
      <c r="A165" s="6">
        <v>46185</v>
      </c>
      <c r="B165" t="s">
        <v>381</v>
      </c>
      <c r="C165" t="s">
        <v>382</v>
      </c>
      <c r="D165" t="s">
        <v>13</v>
      </c>
      <c r="E165" t="s">
        <v>62</v>
      </c>
      <c r="F165" t="s">
        <v>92</v>
      </c>
      <c r="G165">
        <v>10</v>
      </c>
      <c r="H165">
        <v>939.23</v>
      </c>
      <c r="I165">
        <v>5</v>
      </c>
      <c r="J165" t="s">
        <v>16</v>
      </c>
      <c r="K165">
        <f>SalesTable[[#This Row],[Quantity]]*SalesTable[[#This Row],[Unit Price]]*(1-SalesTable[[#This Row],[Discount (%)]]/100)</f>
        <v>8922.6849999999995</v>
      </c>
    </row>
    <row r="166" spans="1:11" x14ac:dyDescent="0.25">
      <c r="A166" s="6">
        <v>46186</v>
      </c>
      <c r="B166" t="s">
        <v>384</v>
      </c>
      <c r="C166" t="s">
        <v>45</v>
      </c>
      <c r="D166" t="s">
        <v>41</v>
      </c>
      <c r="E166" t="s">
        <v>14</v>
      </c>
      <c r="F166" t="s">
        <v>15</v>
      </c>
      <c r="G166">
        <v>5</v>
      </c>
      <c r="H166">
        <v>263.06</v>
      </c>
      <c r="I166">
        <v>10</v>
      </c>
      <c r="J166" t="s">
        <v>22</v>
      </c>
      <c r="K166">
        <f>SalesTable[[#This Row],[Quantity]]*SalesTable[[#This Row],[Unit Price]]*(1-SalesTable[[#This Row],[Discount (%)]]/100)</f>
        <v>1183.77</v>
      </c>
    </row>
    <row r="167" spans="1:11" x14ac:dyDescent="0.25">
      <c r="A167" s="6">
        <v>46132</v>
      </c>
      <c r="B167" t="s">
        <v>385</v>
      </c>
      <c r="C167" t="s">
        <v>386</v>
      </c>
      <c r="D167" t="s">
        <v>13</v>
      </c>
      <c r="E167" t="s">
        <v>27</v>
      </c>
      <c r="F167" t="s">
        <v>51</v>
      </c>
      <c r="G167">
        <v>3</v>
      </c>
      <c r="H167">
        <v>22.19</v>
      </c>
      <c r="I167">
        <v>15</v>
      </c>
      <c r="J167" t="s">
        <v>16</v>
      </c>
      <c r="K167">
        <f>SalesTable[[#This Row],[Quantity]]*SalesTable[[#This Row],[Unit Price]]*(1-SalesTable[[#This Row],[Discount (%)]]/100)</f>
        <v>56.584500000000006</v>
      </c>
    </row>
    <row r="168" spans="1:11" x14ac:dyDescent="0.25">
      <c r="A168" s="6">
        <v>46180</v>
      </c>
      <c r="B168" t="s">
        <v>388</v>
      </c>
      <c r="C168" t="s">
        <v>192</v>
      </c>
      <c r="D168" t="s">
        <v>13</v>
      </c>
      <c r="E168" t="s">
        <v>27</v>
      </c>
      <c r="F168" t="s">
        <v>42</v>
      </c>
      <c r="G168">
        <v>3</v>
      </c>
      <c r="H168">
        <v>442.76</v>
      </c>
      <c r="I168">
        <v>5</v>
      </c>
      <c r="J168" t="s">
        <v>29</v>
      </c>
      <c r="K168">
        <f>SalesTable[[#This Row],[Quantity]]*SalesTable[[#This Row],[Unit Price]]*(1-SalesTable[[#This Row],[Discount (%)]]/100)</f>
        <v>1261.866</v>
      </c>
    </row>
    <row r="169" spans="1:11" x14ac:dyDescent="0.25">
      <c r="A169" s="6">
        <v>46172</v>
      </c>
      <c r="B169" t="s">
        <v>390</v>
      </c>
      <c r="C169" t="s">
        <v>45</v>
      </c>
      <c r="D169" t="s">
        <v>20</v>
      </c>
      <c r="E169" t="s">
        <v>27</v>
      </c>
      <c r="F169" t="s">
        <v>28</v>
      </c>
      <c r="G169">
        <v>2</v>
      </c>
      <c r="H169">
        <v>463.04</v>
      </c>
      <c r="I169">
        <v>0</v>
      </c>
      <c r="J169" t="s">
        <v>16</v>
      </c>
      <c r="K169">
        <f>SalesTable[[#This Row],[Quantity]]*SalesTable[[#This Row],[Unit Price]]*(1-SalesTable[[#This Row],[Discount (%)]]/100)</f>
        <v>926.08</v>
      </c>
    </row>
    <row r="170" spans="1:11" x14ac:dyDescent="0.25">
      <c r="A170" s="6">
        <v>46125</v>
      </c>
      <c r="B170" t="s">
        <v>392</v>
      </c>
      <c r="C170" t="s">
        <v>216</v>
      </c>
      <c r="D170" t="s">
        <v>26</v>
      </c>
      <c r="E170" t="s">
        <v>27</v>
      </c>
      <c r="F170" t="s">
        <v>51</v>
      </c>
      <c r="G170">
        <v>7</v>
      </c>
      <c r="H170">
        <v>141.16</v>
      </c>
      <c r="I170">
        <v>15</v>
      </c>
      <c r="J170" t="s">
        <v>22</v>
      </c>
      <c r="K170">
        <f>SalesTable[[#This Row],[Quantity]]*SalesTable[[#This Row],[Unit Price]]*(1-SalesTable[[#This Row],[Discount (%)]]/100)</f>
        <v>839.90199999999993</v>
      </c>
    </row>
    <row r="171" spans="1:11" x14ac:dyDescent="0.25">
      <c r="A171" s="6">
        <v>46146</v>
      </c>
      <c r="B171" t="s">
        <v>394</v>
      </c>
      <c r="C171" t="s">
        <v>256</v>
      </c>
      <c r="D171" t="s">
        <v>13</v>
      </c>
      <c r="E171" t="s">
        <v>33</v>
      </c>
      <c r="F171" t="s">
        <v>46</v>
      </c>
      <c r="G171">
        <v>3</v>
      </c>
      <c r="H171">
        <v>450.9</v>
      </c>
      <c r="I171">
        <v>5</v>
      </c>
      <c r="J171" t="s">
        <v>22</v>
      </c>
      <c r="K171">
        <f>SalesTable[[#This Row],[Quantity]]*SalesTable[[#This Row],[Unit Price]]*(1-SalesTable[[#This Row],[Discount (%)]]/100)</f>
        <v>1285.0649999999998</v>
      </c>
    </row>
    <row r="172" spans="1:11" x14ac:dyDescent="0.25">
      <c r="A172" s="6">
        <v>46192</v>
      </c>
      <c r="B172" t="s">
        <v>395</v>
      </c>
      <c r="C172" t="s">
        <v>112</v>
      </c>
      <c r="D172" t="s">
        <v>41</v>
      </c>
      <c r="E172" t="s">
        <v>33</v>
      </c>
      <c r="F172" t="s">
        <v>82</v>
      </c>
      <c r="G172">
        <v>6</v>
      </c>
      <c r="H172">
        <v>190.9</v>
      </c>
      <c r="I172">
        <v>15</v>
      </c>
      <c r="J172" t="s">
        <v>16</v>
      </c>
      <c r="K172">
        <f>SalesTable[[#This Row],[Quantity]]*SalesTable[[#This Row],[Unit Price]]*(1-SalesTable[[#This Row],[Discount (%)]]/100)</f>
        <v>973.59</v>
      </c>
    </row>
    <row r="173" spans="1:11" x14ac:dyDescent="0.25">
      <c r="A173" s="6">
        <v>46206</v>
      </c>
      <c r="B173" t="s">
        <v>396</v>
      </c>
      <c r="C173" t="s">
        <v>397</v>
      </c>
      <c r="D173" t="s">
        <v>13</v>
      </c>
      <c r="E173" t="s">
        <v>14</v>
      </c>
      <c r="F173" t="s">
        <v>76</v>
      </c>
      <c r="G173">
        <v>9</v>
      </c>
      <c r="H173">
        <v>439.19</v>
      </c>
      <c r="I173">
        <v>10</v>
      </c>
      <c r="J173" t="s">
        <v>16</v>
      </c>
      <c r="K173">
        <f>SalesTable[[#This Row],[Quantity]]*SalesTable[[#This Row],[Unit Price]]*(1-SalesTable[[#This Row],[Discount (%)]]/100)</f>
        <v>3557.4390000000003</v>
      </c>
    </row>
    <row r="174" spans="1:11" x14ac:dyDescent="0.25">
      <c r="A174" s="6">
        <v>46216</v>
      </c>
      <c r="B174" t="s">
        <v>399</v>
      </c>
      <c r="C174" t="s">
        <v>145</v>
      </c>
      <c r="D174" t="s">
        <v>41</v>
      </c>
      <c r="E174" t="s">
        <v>14</v>
      </c>
      <c r="F174" t="s">
        <v>76</v>
      </c>
      <c r="G174">
        <v>10</v>
      </c>
      <c r="H174">
        <v>464.33</v>
      </c>
      <c r="I174">
        <v>15</v>
      </c>
      <c r="J174" t="s">
        <v>108</v>
      </c>
      <c r="K174">
        <f>SalesTable[[#This Row],[Quantity]]*SalesTable[[#This Row],[Unit Price]]*(1-SalesTable[[#This Row],[Discount (%)]]/100)</f>
        <v>3946.8049999999998</v>
      </c>
    </row>
    <row r="175" spans="1:11" x14ac:dyDescent="0.25">
      <c r="A175" s="6">
        <v>46196</v>
      </c>
      <c r="B175" t="s">
        <v>400</v>
      </c>
      <c r="C175" t="s">
        <v>318</v>
      </c>
      <c r="D175" t="s">
        <v>41</v>
      </c>
      <c r="E175" t="s">
        <v>27</v>
      </c>
      <c r="F175" t="s">
        <v>28</v>
      </c>
      <c r="G175">
        <v>3</v>
      </c>
      <c r="H175">
        <v>212.96</v>
      </c>
      <c r="I175">
        <v>10</v>
      </c>
      <c r="J175" t="s">
        <v>98</v>
      </c>
      <c r="K175">
        <f>SalesTable[[#This Row],[Quantity]]*SalesTable[[#This Row],[Unit Price]]*(1-SalesTable[[#This Row],[Discount (%)]]/100)</f>
        <v>574.99199999999996</v>
      </c>
    </row>
    <row r="176" spans="1:11" x14ac:dyDescent="0.25">
      <c r="A176" s="6">
        <v>46066</v>
      </c>
      <c r="B176" t="s">
        <v>402</v>
      </c>
      <c r="C176" t="s">
        <v>386</v>
      </c>
      <c r="D176" t="s">
        <v>20</v>
      </c>
      <c r="E176" t="s">
        <v>62</v>
      </c>
      <c r="F176" t="s">
        <v>79</v>
      </c>
      <c r="G176">
        <v>6</v>
      </c>
      <c r="H176">
        <v>881.39</v>
      </c>
      <c r="I176">
        <v>10</v>
      </c>
      <c r="J176" t="s">
        <v>22</v>
      </c>
      <c r="K176">
        <f>SalesTable[[#This Row],[Quantity]]*SalesTable[[#This Row],[Unit Price]]*(1-SalesTable[[#This Row],[Discount (%)]]/100)</f>
        <v>4759.5060000000003</v>
      </c>
    </row>
    <row r="177" spans="1:11" x14ac:dyDescent="0.25">
      <c r="A177" s="6">
        <v>46055</v>
      </c>
      <c r="B177" t="s">
        <v>403</v>
      </c>
      <c r="C177" t="s">
        <v>261</v>
      </c>
      <c r="D177" t="s">
        <v>41</v>
      </c>
      <c r="E177" t="s">
        <v>14</v>
      </c>
      <c r="F177" t="s">
        <v>15</v>
      </c>
      <c r="G177">
        <v>10</v>
      </c>
      <c r="H177">
        <v>180.27</v>
      </c>
      <c r="I177">
        <v>0</v>
      </c>
      <c r="J177" t="s">
        <v>22</v>
      </c>
      <c r="K177">
        <f>SalesTable[[#This Row],[Quantity]]*SalesTable[[#This Row],[Unit Price]]*(1-SalesTable[[#This Row],[Discount (%)]]/100)</f>
        <v>1802.7</v>
      </c>
    </row>
    <row r="178" spans="1:11" x14ac:dyDescent="0.25">
      <c r="A178" s="6">
        <v>46093</v>
      </c>
      <c r="B178" t="s">
        <v>405</v>
      </c>
      <c r="C178" t="s">
        <v>406</v>
      </c>
      <c r="D178" t="s">
        <v>13</v>
      </c>
      <c r="E178" t="s">
        <v>14</v>
      </c>
      <c r="F178" t="s">
        <v>15</v>
      </c>
      <c r="G178">
        <v>9</v>
      </c>
      <c r="H178">
        <v>153.49</v>
      </c>
      <c r="I178">
        <v>10</v>
      </c>
      <c r="J178" t="s">
        <v>98</v>
      </c>
      <c r="K178">
        <f>SalesTable[[#This Row],[Quantity]]*SalesTable[[#This Row],[Unit Price]]*(1-SalesTable[[#This Row],[Discount (%)]]/100)</f>
        <v>1243.269</v>
      </c>
    </row>
    <row r="179" spans="1:11" x14ac:dyDescent="0.25">
      <c r="A179" s="6">
        <v>46124</v>
      </c>
      <c r="B179" t="s">
        <v>408</v>
      </c>
      <c r="C179" t="s">
        <v>19</v>
      </c>
      <c r="D179" t="s">
        <v>20</v>
      </c>
      <c r="E179" t="s">
        <v>14</v>
      </c>
      <c r="F179" t="s">
        <v>21</v>
      </c>
      <c r="G179">
        <v>7</v>
      </c>
      <c r="H179">
        <v>874.16</v>
      </c>
      <c r="I179">
        <v>10</v>
      </c>
      <c r="J179" t="s">
        <v>47</v>
      </c>
      <c r="K179">
        <f>SalesTable[[#This Row],[Quantity]]*SalesTable[[#This Row],[Unit Price]]*(1-SalesTable[[#This Row],[Discount (%)]]/100)</f>
        <v>5507.2079999999996</v>
      </c>
    </row>
    <row r="180" spans="1:11" x14ac:dyDescent="0.25">
      <c r="A180" s="6">
        <v>46134</v>
      </c>
      <c r="B180" t="s">
        <v>410</v>
      </c>
      <c r="C180" t="s">
        <v>216</v>
      </c>
      <c r="D180" t="s">
        <v>20</v>
      </c>
      <c r="E180" t="s">
        <v>14</v>
      </c>
      <c r="F180" t="s">
        <v>21</v>
      </c>
      <c r="G180">
        <v>7</v>
      </c>
      <c r="H180">
        <v>812.32</v>
      </c>
      <c r="I180">
        <v>5</v>
      </c>
      <c r="J180" t="s">
        <v>108</v>
      </c>
      <c r="K180">
        <f>SalesTable[[#This Row],[Quantity]]*SalesTable[[#This Row],[Unit Price]]*(1-SalesTable[[#This Row],[Discount (%)]]/100)</f>
        <v>5401.9280000000008</v>
      </c>
    </row>
    <row r="181" spans="1:11" x14ac:dyDescent="0.25">
      <c r="A181" s="6">
        <v>46163</v>
      </c>
      <c r="B181" t="s">
        <v>412</v>
      </c>
      <c r="C181" t="s">
        <v>386</v>
      </c>
      <c r="D181" t="s">
        <v>26</v>
      </c>
      <c r="E181" t="s">
        <v>62</v>
      </c>
      <c r="F181" t="s">
        <v>79</v>
      </c>
      <c r="G181">
        <v>4</v>
      </c>
      <c r="H181">
        <v>239.95</v>
      </c>
      <c r="I181">
        <v>5</v>
      </c>
      <c r="J181" t="s">
        <v>16</v>
      </c>
      <c r="K181">
        <f>SalesTable[[#This Row],[Quantity]]*SalesTable[[#This Row],[Unit Price]]*(1-SalesTable[[#This Row],[Discount (%)]]/100)</f>
        <v>911.81</v>
      </c>
    </row>
    <row r="182" spans="1:11" x14ac:dyDescent="0.25">
      <c r="A182" s="6">
        <v>46052</v>
      </c>
      <c r="B182" t="s">
        <v>413</v>
      </c>
      <c r="C182" t="s">
        <v>414</v>
      </c>
      <c r="D182" t="s">
        <v>26</v>
      </c>
      <c r="E182" t="s">
        <v>33</v>
      </c>
      <c r="F182" t="s">
        <v>82</v>
      </c>
      <c r="G182">
        <v>1</v>
      </c>
      <c r="H182">
        <v>594.24</v>
      </c>
      <c r="I182">
        <v>0</v>
      </c>
      <c r="J182" t="s">
        <v>98</v>
      </c>
      <c r="K182">
        <f>SalesTable[[#This Row],[Quantity]]*SalesTable[[#This Row],[Unit Price]]*(1-SalesTable[[#This Row],[Discount (%)]]/100)</f>
        <v>594.24</v>
      </c>
    </row>
    <row r="183" spans="1:11" x14ac:dyDescent="0.25">
      <c r="A183" s="6">
        <v>46072</v>
      </c>
      <c r="B183" t="s">
        <v>415</v>
      </c>
      <c r="C183" t="s">
        <v>135</v>
      </c>
      <c r="D183" t="s">
        <v>20</v>
      </c>
      <c r="E183" t="s">
        <v>27</v>
      </c>
      <c r="F183" t="s">
        <v>51</v>
      </c>
      <c r="G183">
        <v>2</v>
      </c>
      <c r="H183">
        <v>436.4</v>
      </c>
      <c r="I183">
        <v>0</v>
      </c>
      <c r="J183" t="s">
        <v>108</v>
      </c>
      <c r="K183">
        <f>SalesTable[[#This Row],[Quantity]]*SalesTable[[#This Row],[Unit Price]]*(1-SalesTable[[#This Row],[Discount (%)]]/100)</f>
        <v>872.8</v>
      </c>
    </row>
    <row r="184" spans="1:11" x14ac:dyDescent="0.25">
      <c r="A184" s="6">
        <v>46096</v>
      </c>
      <c r="B184" t="s">
        <v>416</v>
      </c>
      <c r="C184" t="s">
        <v>45</v>
      </c>
      <c r="D184" t="s">
        <v>13</v>
      </c>
      <c r="E184" t="s">
        <v>62</v>
      </c>
      <c r="F184" t="s">
        <v>73</v>
      </c>
      <c r="G184">
        <v>3</v>
      </c>
      <c r="H184">
        <v>512.62</v>
      </c>
      <c r="I184">
        <v>15</v>
      </c>
      <c r="J184" t="s">
        <v>29</v>
      </c>
      <c r="K184">
        <f>SalesTable[[#This Row],[Quantity]]*SalesTable[[#This Row],[Unit Price]]*(1-SalesTable[[#This Row],[Discount (%)]]/100)</f>
        <v>1307.181</v>
      </c>
    </row>
    <row r="185" spans="1:11" x14ac:dyDescent="0.25">
      <c r="A185" s="6">
        <v>46155</v>
      </c>
      <c r="B185" t="s">
        <v>418</v>
      </c>
      <c r="C185" t="s">
        <v>251</v>
      </c>
      <c r="D185" t="s">
        <v>13</v>
      </c>
      <c r="E185" t="s">
        <v>33</v>
      </c>
      <c r="F185" t="s">
        <v>82</v>
      </c>
      <c r="G185">
        <v>7</v>
      </c>
      <c r="H185">
        <v>344.21</v>
      </c>
      <c r="I185">
        <v>15</v>
      </c>
      <c r="J185" t="s">
        <v>16</v>
      </c>
      <c r="K185">
        <f>SalesTable[[#This Row],[Quantity]]*SalesTable[[#This Row],[Unit Price]]*(1-SalesTable[[#This Row],[Discount (%)]]/100)</f>
        <v>2048.0494999999996</v>
      </c>
    </row>
    <row r="186" spans="1:11" x14ac:dyDescent="0.25">
      <c r="A186" s="6">
        <v>46148</v>
      </c>
      <c r="B186" t="s">
        <v>420</v>
      </c>
      <c r="C186" t="s">
        <v>112</v>
      </c>
      <c r="D186" t="s">
        <v>13</v>
      </c>
      <c r="E186" t="s">
        <v>62</v>
      </c>
      <c r="F186" t="s">
        <v>79</v>
      </c>
      <c r="G186">
        <v>1</v>
      </c>
      <c r="H186">
        <v>249.58</v>
      </c>
      <c r="I186">
        <v>10</v>
      </c>
      <c r="J186" t="s">
        <v>29</v>
      </c>
      <c r="K186">
        <f>SalesTable[[#This Row],[Quantity]]*SalesTable[[#This Row],[Unit Price]]*(1-SalesTable[[#This Row],[Discount (%)]]/100)</f>
        <v>224.62200000000001</v>
      </c>
    </row>
    <row r="187" spans="1:11" x14ac:dyDescent="0.25">
      <c r="A187" s="6">
        <v>46218</v>
      </c>
      <c r="B187" t="s">
        <v>421</v>
      </c>
      <c r="C187" t="s">
        <v>422</v>
      </c>
      <c r="D187" t="s">
        <v>26</v>
      </c>
      <c r="E187" t="s">
        <v>33</v>
      </c>
      <c r="F187" t="s">
        <v>82</v>
      </c>
      <c r="G187">
        <v>1</v>
      </c>
      <c r="H187">
        <v>820.82</v>
      </c>
      <c r="I187">
        <v>15</v>
      </c>
      <c r="J187" t="s">
        <v>98</v>
      </c>
      <c r="K187">
        <f>SalesTable[[#This Row],[Quantity]]*SalesTable[[#This Row],[Unit Price]]*(1-SalesTable[[#This Row],[Discount (%)]]/100)</f>
        <v>697.697</v>
      </c>
    </row>
    <row r="188" spans="1:11" x14ac:dyDescent="0.25">
      <c r="A188" s="6">
        <v>46112</v>
      </c>
      <c r="B188" t="s">
        <v>423</v>
      </c>
      <c r="C188" t="s">
        <v>117</v>
      </c>
      <c r="D188" t="s">
        <v>13</v>
      </c>
      <c r="E188" t="s">
        <v>27</v>
      </c>
      <c r="F188" t="s">
        <v>42</v>
      </c>
      <c r="G188">
        <v>4</v>
      </c>
      <c r="H188">
        <v>27.11</v>
      </c>
      <c r="I188">
        <v>10</v>
      </c>
      <c r="J188" t="s">
        <v>108</v>
      </c>
      <c r="K188">
        <f>SalesTable[[#This Row],[Quantity]]*SalesTable[[#This Row],[Unit Price]]*(1-SalesTable[[#This Row],[Discount (%)]]/100)</f>
        <v>97.596000000000004</v>
      </c>
    </row>
    <row r="189" spans="1:11" x14ac:dyDescent="0.25">
      <c r="A189" s="6">
        <v>46065</v>
      </c>
      <c r="B189" t="s">
        <v>425</v>
      </c>
      <c r="C189" t="s">
        <v>222</v>
      </c>
      <c r="D189" t="s">
        <v>26</v>
      </c>
      <c r="E189" t="s">
        <v>14</v>
      </c>
      <c r="F189" t="s">
        <v>15</v>
      </c>
      <c r="G189">
        <v>10</v>
      </c>
      <c r="H189">
        <v>1168.23</v>
      </c>
      <c r="I189">
        <v>0</v>
      </c>
      <c r="J189" t="s">
        <v>16</v>
      </c>
      <c r="K189">
        <f>SalesTable[[#This Row],[Quantity]]*SalesTable[[#This Row],[Unit Price]]*(1-SalesTable[[#This Row],[Discount (%)]]/100)</f>
        <v>11682.3</v>
      </c>
    </row>
    <row r="190" spans="1:11" x14ac:dyDescent="0.25">
      <c r="A190" s="6">
        <v>46233</v>
      </c>
      <c r="B190" t="s">
        <v>426</v>
      </c>
      <c r="C190" t="s">
        <v>279</v>
      </c>
      <c r="D190" t="s">
        <v>41</v>
      </c>
      <c r="E190" t="s">
        <v>33</v>
      </c>
      <c r="F190" t="s">
        <v>46</v>
      </c>
      <c r="G190">
        <v>4</v>
      </c>
      <c r="H190">
        <v>752.21</v>
      </c>
      <c r="I190">
        <v>10</v>
      </c>
      <c r="J190" t="s">
        <v>98</v>
      </c>
      <c r="K190">
        <f>SalesTable[[#This Row],[Quantity]]*SalesTable[[#This Row],[Unit Price]]*(1-SalesTable[[#This Row],[Discount (%)]]/100)</f>
        <v>2707.9560000000001</v>
      </c>
    </row>
    <row r="191" spans="1:11" x14ac:dyDescent="0.25">
      <c r="A191" s="6">
        <v>46224</v>
      </c>
      <c r="B191" t="s">
        <v>427</v>
      </c>
      <c r="C191" t="s">
        <v>428</v>
      </c>
      <c r="D191" t="s">
        <v>41</v>
      </c>
      <c r="E191" t="s">
        <v>27</v>
      </c>
      <c r="F191" t="s">
        <v>28</v>
      </c>
      <c r="G191">
        <v>6</v>
      </c>
      <c r="H191">
        <v>363.28</v>
      </c>
      <c r="I191">
        <v>0</v>
      </c>
      <c r="J191" t="s">
        <v>29</v>
      </c>
      <c r="K191">
        <f>SalesTable[[#This Row],[Quantity]]*SalesTable[[#This Row],[Unit Price]]*(1-SalesTable[[#This Row],[Discount (%)]]/100)</f>
        <v>2179.6799999999998</v>
      </c>
    </row>
    <row r="192" spans="1:11" x14ac:dyDescent="0.25">
      <c r="A192" s="6">
        <v>46173</v>
      </c>
      <c r="B192" t="s">
        <v>430</v>
      </c>
      <c r="C192" t="s">
        <v>216</v>
      </c>
      <c r="D192" t="s">
        <v>13</v>
      </c>
      <c r="E192" t="s">
        <v>27</v>
      </c>
      <c r="F192" t="s">
        <v>51</v>
      </c>
      <c r="G192">
        <v>1</v>
      </c>
      <c r="H192">
        <v>662.95</v>
      </c>
      <c r="I192">
        <v>15</v>
      </c>
      <c r="J192" t="s">
        <v>22</v>
      </c>
      <c r="K192">
        <f>SalesTable[[#This Row],[Quantity]]*SalesTable[[#This Row],[Unit Price]]*(1-SalesTable[[#This Row],[Discount (%)]]/100)</f>
        <v>563.50750000000005</v>
      </c>
    </row>
    <row r="193" spans="1:11" x14ac:dyDescent="0.25">
      <c r="A193" s="6">
        <v>46130</v>
      </c>
      <c r="B193" t="s">
        <v>431</v>
      </c>
      <c r="C193" t="s">
        <v>58</v>
      </c>
      <c r="D193" t="s">
        <v>41</v>
      </c>
      <c r="E193" t="s">
        <v>62</v>
      </c>
      <c r="F193" t="s">
        <v>63</v>
      </c>
      <c r="G193">
        <v>2</v>
      </c>
      <c r="H193">
        <v>1020.21</v>
      </c>
      <c r="I193">
        <v>0</v>
      </c>
      <c r="J193" t="s">
        <v>98</v>
      </c>
      <c r="K193">
        <f>SalesTable[[#This Row],[Quantity]]*SalesTable[[#This Row],[Unit Price]]*(1-SalesTable[[#This Row],[Discount (%)]]/100)</f>
        <v>2040.42</v>
      </c>
    </row>
    <row r="194" spans="1:11" x14ac:dyDescent="0.25">
      <c r="A194" s="6">
        <v>46084</v>
      </c>
      <c r="B194" t="s">
        <v>433</v>
      </c>
      <c r="C194" t="s">
        <v>97</v>
      </c>
      <c r="D194" t="s">
        <v>26</v>
      </c>
      <c r="E194" t="s">
        <v>62</v>
      </c>
      <c r="F194" t="s">
        <v>73</v>
      </c>
      <c r="G194">
        <v>6</v>
      </c>
      <c r="H194">
        <v>907.07</v>
      </c>
      <c r="I194">
        <v>5</v>
      </c>
      <c r="J194" t="s">
        <v>16</v>
      </c>
      <c r="K194">
        <f>SalesTable[[#This Row],[Quantity]]*SalesTable[[#This Row],[Unit Price]]*(1-SalesTable[[#This Row],[Discount (%)]]/100)</f>
        <v>5170.299</v>
      </c>
    </row>
    <row r="195" spans="1:11" x14ac:dyDescent="0.25">
      <c r="A195" s="6">
        <v>46051</v>
      </c>
      <c r="B195" t="s">
        <v>434</v>
      </c>
      <c r="C195" t="s">
        <v>58</v>
      </c>
      <c r="D195" t="s">
        <v>20</v>
      </c>
      <c r="E195" t="s">
        <v>27</v>
      </c>
      <c r="F195" t="s">
        <v>42</v>
      </c>
      <c r="G195">
        <v>6</v>
      </c>
      <c r="H195">
        <v>831.55</v>
      </c>
      <c r="I195">
        <v>10</v>
      </c>
      <c r="J195" t="s">
        <v>98</v>
      </c>
      <c r="K195">
        <f>SalesTable[[#This Row],[Quantity]]*SalesTable[[#This Row],[Unit Price]]*(1-SalesTable[[#This Row],[Discount (%)]]/100)</f>
        <v>4490.37</v>
      </c>
    </row>
    <row r="196" spans="1:11" x14ac:dyDescent="0.25">
      <c r="A196" s="6">
        <v>46076</v>
      </c>
      <c r="B196" t="s">
        <v>436</v>
      </c>
      <c r="C196" t="s">
        <v>12</v>
      </c>
      <c r="D196" t="s">
        <v>26</v>
      </c>
      <c r="E196" t="s">
        <v>27</v>
      </c>
      <c r="F196" t="s">
        <v>28</v>
      </c>
      <c r="G196">
        <v>6</v>
      </c>
      <c r="H196">
        <v>964.52</v>
      </c>
      <c r="I196">
        <v>0</v>
      </c>
      <c r="J196" t="s">
        <v>108</v>
      </c>
      <c r="K196">
        <f>SalesTable[[#This Row],[Quantity]]*SalesTable[[#This Row],[Unit Price]]*(1-SalesTable[[#This Row],[Discount (%)]]/100)</f>
        <v>5787.12</v>
      </c>
    </row>
    <row r="197" spans="1:11" x14ac:dyDescent="0.25">
      <c r="A197" s="6">
        <v>46218</v>
      </c>
      <c r="B197" t="s">
        <v>437</v>
      </c>
      <c r="C197" t="s">
        <v>158</v>
      </c>
      <c r="D197" t="s">
        <v>41</v>
      </c>
      <c r="E197" t="s">
        <v>27</v>
      </c>
      <c r="F197" t="s">
        <v>51</v>
      </c>
      <c r="G197">
        <v>1</v>
      </c>
      <c r="H197">
        <v>222.59</v>
      </c>
      <c r="I197">
        <v>0</v>
      </c>
      <c r="J197" t="s">
        <v>47</v>
      </c>
      <c r="K197">
        <f>SalesTable[[#This Row],[Quantity]]*SalesTable[[#This Row],[Unit Price]]*(1-SalesTable[[#This Row],[Discount (%)]]/100)</f>
        <v>222.59</v>
      </c>
    </row>
    <row r="198" spans="1:11" x14ac:dyDescent="0.25">
      <c r="A198" s="6">
        <v>46081</v>
      </c>
      <c r="B198" t="s">
        <v>438</v>
      </c>
      <c r="C198" t="s">
        <v>386</v>
      </c>
      <c r="D198" t="s">
        <v>26</v>
      </c>
      <c r="E198" t="s">
        <v>27</v>
      </c>
      <c r="F198" t="s">
        <v>42</v>
      </c>
      <c r="G198">
        <v>5</v>
      </c>
      <c r="H198">
        <v>289.16000000000003</v>
      </c>
      <c r="I198">
        <v>15</v>
      </c>
      <c r="J198" t="s">
        <v>47</v>
      </c>
      <c r="K198">
        <f>SalesTable[[#This Row],[Quantity]]*SalesTable[[#This Row],[Unit Price]]*(1-SalesTable[[#This Row],[Discount (%)]]/100)</f>
        <v>1228.93</v>
      </c>
    </row>
    <row r="199" spans="1:11" x14ac:dyDescent="0.25">
      <c r="A199" s="6">
        <v>46128</v>
      </c>
      <c r="B199" t="s">
        <v>439</v>
      </c>
      <c r="C199" t="s">
        <v>61</v>
      </c>
      <c r="D199" t="s">
        <v>26</v>
      </c>
      <c r="E199" t="s">
        <v>33</v>
      </c>
      <c r="F199" t="s">
        <v>82</v>
      </c>
      <c r="G199">
        <v>1</v>
      </c>
      <c r="H199">
        <v>486.83</v>
      </c>
      <c r="I199">
        <v>5</v>
      </c>
      <c r="J199" t="s">
        <v>16</v>
      </c>
      <c r="K199">
        <f>SalesTable[[#This Row],[Quantity]]*SalesTable[[#This Row],[Unit Price]]*(1-SalesTable[[#This Row],[Discount (%)]]/100)</f>
        <v>462.48849999999999</v>
      </c>
    </row>
    <row r="200" spans="1:11" x14ac:dyDescent="0.25">
      <c r="A200" s="6">
        <v>46096</v>
      </c>
      <c r="B200" t="s">
        <v>440</v>
      </c>
      <c r="C200" t="s">
        <v>135</v>
      </c>
      <c r="D200" t="s">
        <v>13</v>
      </c>
      <c r="E200" t="s">
        <v>62</v>
      </c>
      <c r="F200" t="s">
        <v>79</v>
      </c>
      <c r="G200">
        <v>4</v>
      </c>
      <c r="H200">
        <v>513.63</v>
      </c>
      <c r="I200">
        <v>0</v>
      </c>
      <c r="J200" t="s">
        <v>29</v>
      </c>
      <c r="K200">
        <f>SalesTable[[#This Row],[Quantity]]*SalesTable[[#This Row],[Unit Price]]*(1-SalesTable[[#This Row],[Discount (%)]]/100)</f>
        <v>2054.52</v>
      </c>
    </row>
    <row r="201" spans="1:11" x14ac:dyDescent="0.25">
      <c r="A201" s="6">
        <v>46190</v>
      </c>
      <c r="B201" t="s">
        <v>442</v>
      </c>
      <c r="C201" t="s">
        <v>50</v>
      </c>
      <c r="D201" t="s">
        <v>13</v>
      </c>
      <c r="E201" t="s">
        <v>27</v>
      </c>
      <c r="F201" t="s">
        <v>28</v>
      </c>
      <c r="G201">
        <v>4</v>
      </c>
      <c r="H201">
        <v>740.62</v>
      </c>
      <c r="I201">
        <v>0</v>
      </c>
      <c r="J201" t="s">
        <v>29</v>
      </c>
      <c r="K201">
        <f>SalesTable[[#This Row],[Quantity]]*SalesTable[[#This Row],[Unit Price]]*(1-SalesTable[[#This Row],[Discount (%)]]/100)</f>
        <v>2962.48</v>
      </c>
    </row>
    <row r="202" spans="1:11" x14ac:dyDescent="0.25">
      <c r="A202" s="6">
        <v>46054</v>
      </c>
      <c r="B202" t="s">
        <v>443</v>
      </c>
      <c r="C202" t="s">
        <v>97</v>
      </c>
      <c r="D202" t="s">
        <v>26</v>
      </c>
      <c r="E202" t="s">
        <v>27</v>
      </c>
      <c r="F202" t="s">
        <v>51</v>
      </c>
      <c r="G202">
        <v>9</v>
      </c>
      <c r="H202">
        <v>669.15</v>
      </c>
      <c r="I202">
        <v>10</v>
      </c>
      <c r="J202" t="s">
        <v>98</v>
      </c>
      <c r="K202">
        <f>SalesTable[[#This Row],[Quantity]]*SalesTable[[#This Row],[Unit Price]]*(1-SalesTable[[#This Row],[Discount (%)]]/100)</f>
        <v>5420.1149999999998</v>
      </c>
    </row>
    <row r="203" spans="1:11" x14ac:dyDescent="0.25">
      <c r="A203" s="6">
        <v>46188</v>
      </c>
      <c r="B203" t="s">
        <v>444</v>
      </c>
      <c r="C203" t="s">
        <v>201</v>
      </c>
      <c r="D203" t="s">
        <v>26</v>
      </c>
      <c r="E203" t="s">
        <v>14</v>
      </c>
      <c r="F203" t="s">
        <v>76</v>
      </c>
      <c r="G203">
        <v>5</v>
      </c>
      <c r="H203">
        <v>808.51</v>
      </c>
      <c r="I203">
        <v>15</v>
      </c>
      <c r="J203" t="s">
        <v>16</v>
      </c>
      <c r="K203">
        <f>SalesTable[[#This Row],[Quantity]]*SalesTable[[#This Row],[Unit Price]]*(1-SalesTable[[#This Row],[Discount (%)]]/100)</f>
        <v>3436.1675</v>
      </c>
    </row>
    <row r="204" spans="1:11" x14ac:dyDescent="0.25">
      <c r="A204" s="6">
        <v>46170</v>
      </c>
      <c r="B204" t="s">
        <v>445</v>
      </c>
      <c r="C204" t="s">
        <v>129</v>
      </c>
      <c r="D204" t="s">
        <v>41</v>
      </c>
      <c r="E204" t="s">
        <v>33</v>
      </c>
      <c r="F204" t="s">
        <v>46</v>
      </c>
      <c r="G204">
        <v>2</v>
      </c>
      <c r="H204">
        <v>452.17</v>
      </c>
      <c r="I204">
        <v>10</v>
      </c>
      <c r="J204" t="s">
        <v>98</v>
      </c>
      <c r="K204">
        <f>SalesTable[[#This Row],[Quantity]]*SalesTable[[#This Row],[Unit Price]]*(1-SalesTable[[#This Row],[Discount (%)]]/100)</f>
        <v>813.90600000000006</v>
      </c>
    </row>
    <row r="205" spans="1:11" x14ac:dyDescent="0.25">
      <c r="A205" s="6">
        <v>46211</v>
      </c>
      <c r="B205" t="s">
        <v>447</v>
      </c>
      <c r="C205" t="s">
        <v>448</v>
      </c>
      <c r="D205" t="s">
        <v>13</v>
      </c>
      <c r="E205" t="s">
        <v>27</v>
      </c>
      <c r="F205" t="s">
        <v>28</v>
      </c>
      <c r="G205">
        <v>4</v>
      </c>
      <c r="H205">
        <v>254.43</v>
      </c>
      <c r="I205">
        <v>10</v>
      </c>
      <c r="J205" t="s">
        <v>47</v>
      </c>
      <c r="K205">
        <f>SalesTable[[#This Row],[Quantity]]*SalesTable[[#This Row],[Unit Price]]*(1-SalesTable[[#This Row],[Discount (%)]]/100)</f>
        <v>915.94800000000009</v>
      </c>
    </row>
    <row r="206" spans="1:11" x14ac:dyDescent="0.25">
      <c r="A206" s="6">
        <v>46097</v>
      </c>
      <c r="B206" t="s">
        <v>450</v>
      </c>
      <c r="C206" t="s">
        <v>145</v>
      </c>
      <c r="D206" t="s">
        <v>26</v>
      </c>
      <c r="E206" t="s">
        <v>14</v>
      </c>
      <c r="F206" t="s">
        <v>21</v>
      </c>
      <c r="G206">
        <v>10</v>
      </c>
      <c r="H206">
        <v>82.28</v>
      </c>
      <c r="I206">
        <v>15</v>
      </c>
      <c r="J206" t="s">
        <v>98</v>
      </c>
      <c r="K206">
        <f>SalesTable[[#This Row],[Quantity]]*SalesTable[[#This Row],[Unit Price]]*(1-SalesTable[[#This Row],[Discount (%)]]/100)</f>
        <v>699.38</v>
      </c>
    </row>
    <row r="207" spans="1:11" x14ac:dyDescent="0.25">
      <c r="A207" s="6">
        <v>46094</v>
      </c>
      <c r="B207" t="s">
        <v>451</v>
      </c>
      <c r="C207" t="s">
        <v>117</v>
      </c>
      <c r="D207" t="s">
        <v>13</v>
      </c>
      <c r="E207" t="s">
        <v>14</v>
      </c>
      <c r="F207" t="s">
        <v>21</v>
      </c>
      <c r="G207">
        <v>5</v>
      </c>
      <c r="H207">
        <v>589.97</v>
      </c>
      <c r="I207">
        <v>15</v>
      </c>
      <c r="J207" t="s">
        <v>16</v>
      </c>
      <c r="K207">
        <f>SalesTable[[#This Row],[Quantity]]*SalesTable[[#This Row],[Unit Price]]*(1-SalesTable[[#This Row],[Discount (%)]]/100)</f>
        <v>2507.3725000000004</v>
      </c>
    </row>
    <row r="208" spans="1:11" x14ac:dyDescent="0.25">
      <c r="A208" s="6">
        <v>46091</v>
      </c>
      <c r="B208" t="s">
        <v>452</v>
      </c>
      <c r="C208" t="s">
        <v>155</v>
      </c>
      <c r="D208" t="s">
        <v>41</v>
      </c>
      <c r="E208" t="s">
        <v>27</v>
      </c>
      <c r="F208" t="s">
        <v>42</v>
      </c>
      <c r="G208">
        <v>9</v>
      </c>
      <c r="H208">
        <v>680.34</v>
      </c>
      <c r="I208">
        <v>5</v>
      </c>
      <c r="J208" t="s">
        <v>47</v>
      </c>
      <c r="K208">
        <f>SalesTable[[#This Row],[Quantity]]*SalesTable[[#This Row],[Unit Price]]*(1-SalesTable[[#This Row],[Discount (%)]]/100)</f>
        <v>5816.9070000000002</v>
      </c>
    </row>
    <row r="209" spans="1:11" x14ac:dyDescent="0.25">
      <c r="A209" s="6">
        <v>46102</v>
      </c>
      <c r="B209" t="s">
        <v>453</v>
      </c>
      <c r="C209" t="s">
        <v>25</v>
      </c>
      <c r="D209" t="s">
        <v>26</v>
      </c>
      <c r="E209" t="s">
        <v>14</v>
      </c>
      <c r="F209" t="s">
        <v>21</v>
      </c>
      <c r="G209">
        <v>2</v>
      </c>
      <c r="H209">
        <v>257.3</v>
      </c>
      <c r="I209">
        <v>15</v>
      </c>
      <c r="J209" t="s">
        <v>98</v>
      </c>
      <c r="K209">
        <f>SalesTable[[#This Row],[Quantity]]*SalesTable[[#This Row],[Unit Price]]*(1-SalesTable[[#This Row],[Discount (%)]]/100)</f>
        <v>437.41</v>
      </c>
    </row>
    <row r="210" spans="1:11" x14ac:dyDescent="0.25">
      <c r="A210" s="6">
        <v>46130</v>
      </c>
      <c r="B210" t="s">
        <v>454</v>
      </c>
      <c r="C210" t="s">
        <v>455</v>
      </c>
      <c r="D210" t="s">
        <v>41</v>
      </c>
      <c r="E210" t="s">
        <v>14</v>
      </c>
      <c r="F210" t="s">
        <v>15</v>
      </c>
      <c r="G210">
        <v>4</v>
      </c>
      <c r="H210">
        <v>814.94</v>
      </c>
      <c r="I210">
        <v>10</v>
      </c>
      <c r="J210" t="s">
        <v>22</v>
      </c>
      <c r="K210">
        <f>SalesTable[[#This Row],[Quantity]]*SalesTable[[#This Row],[Unit Price]]*(1-SalesTable[[#This Row],[Discount (%)]]/100)</f>
        <v>2933.7840000000001</v>
      </c>
    </row>
    <row r="211" spans="1:11" x14ac:dyDescent="0.25">
      <c r="A211" s="6">
        <v>46170</v>
      </c>
      <c r="B211" t="s">
        <v>456</v>
      </c>
      <c r="C211" t="s">
        <v>457</v>
      </c>
      <c r="D211" t="s">
        <v>20</v>
      </c>
      <c r="E211" t="s">
        <v>14</v>
      </c>
      <c r="F211" t="s">
        <v>15</v>
      </c>
      <c r="G211">
        <v>8</v>
      </c>
      <c r="H211">
        <v>31.39</v>
      </c>
      <c r="I211">
        <v>10</v>
      </c>
      <c r="J211" t="s">
        <v>22</v>
      </c>
      <c r="K211">
        <f>SalesTable[[#This Row],[Quantity]]*SalesTable[[#This Row],[Unit Price]]*(1-SalesTable[[#This Row],[Discount (%)]]/100)</f>
        <v>226.00800000000001</v>
      </c>
    </row>
    <row r="212" spans="1:11" x14ac:dyDescent="0.25">
      <c r="A212" s="6">
        <v>46115</v>
      </c>
      <c r="B212" t="s">
        <v>459</v>
      </c>
      <c r="C212" t="s">
        <v>117</v>
      </c>
      <c r="D212" t="s">
        <v>26</v>
      </c>
      <c r="E212" t="s">
        <v>27</v>
      </c>
      <c r="F212" t="s">
        <v>28</v>
      </c>
      <c r="G212">
        <v>7</v>
      </c>
      <c r="H212">
        <v>752.63</v>
      </c>
      <c r="I212">
        <v>15</v>
      </c>
      <c r="J212" t="s">
        <v>29</v>
      </c>
      <c r="K212">
        <f>SalesTable[[#This Row],[Quantity]]*SalesTable[[#This Row],[Unit Price]]*(1-SalesTable[[#This Row],[Discount (%)]]/100)</f>
        <v>4478.1484999999993</v>
      </c>
    </row>
    <row r="213" spans="1:11" x14ac:dyDescent="0.25">
      <c r="A213" s="6">
        <v>46181</v>
      </c>
      <c r="B213" t="s">
        <v>460</v>
      </c>
      <c r="C213" t="s">
        <v>158</v>
      </c>
      <c r="D213" t="s">
        <v>41</v>
      </c>
      <c r="E213" t="s">
        <v>27</v>
      </c>
      <c r="F213" t="s">
        <v>42</v>
      </c>
      <c r="G213">
        <v>4</v>
      </c>
      <c r="H213">
        <v>639.24</v>
      </c>
      <c r="I213">
        <v>10</v>
      </c>
      <c r="J213" t="s">
        <v>22</v>
      </c>
      <c r="K213">
        <f>SalesTable[[#This Row],[Quantity]]*SalesTable[[#This Row],[Unit Price]]*(1-SalesTable[[#This Row],[Discount (%)]]/100)</f>
        <v>2301.2640000000001</v>
      </c>
    </row>
    <row r="214" spans="1:11" x14ac:dyDescent="0.25">
      <c r="A214" s="6">
        <v>46200</v>
      </c>
      <c r="B214" t="s">
        <v>461</v>
      </c>
      <c r="C214" t="s">
        <v>333</v>
      </c>
      <c r="D214" t="s">
        <v>26</v>
      </c>
      <c r="E214" t="s">
        <v>14</v>
      </c>
      <c r="F214" t="s">
        <v>15</v>
      </c>
      <c r="G214">
        <v>10</v>
      </c>
      <c r="H214">
        <v>464.6</v>
      </c>
      <c r="I214">
        <v>5</v>
      </c>
      <c r="J214" t="s">
        <v>47</v>
      </c>
      <c r="K214">
        <f>SalesTable[[#This Row],[Quantity]]*SalesTable[[#This Row],[Unit Price]]*(1-SalesTable[[#This Row],[Discount (%)]]/100)</f>
        <v>4413.7</v>
      </c>
    </row>
    <row r="215" spans="1:11" x14ac:dyDescent="0.25">
      <c r="A215" s="6">
        <v>46088</v>
      </c>
      <c r="B215" t="s">
        <v>462</v>
      </c>
      <c r="C215" t="s">
        <v>40</v>
      </c>
      <c r="D215" t="s">
        <v>20</v>
      </c>
      <c r="E215" t="s">
        <v>14</v>
      </c>
      <c r="F215" t="s">
        <v>21</v>
      </c>
      <c r="G215">
        <v>8</v>
      </c>
      <c r="H215">
        <v>56.18</v>
      </c>
      <c r="I215">
        <v>10</v>
      </c>
      <c r="J215" t="s">
        <v>98</v>
      </c>
      <c r="K215">
        <f>SalesTable[[#This Row],[Quantity]]*SalesTable[[#This Row],[Unit Price]]*(1-SalesTable[[#This Row],[Discount (%)]]/100)</f>
        <v>404.49599999999998</v>
      </c>
    </row>
    <row r="216" spans="1:11" x14ac:dyDescent="0.25">
      <c r="A216" s="6">
        <v>46215</v>
      </c>
      <c r="B216" t="s">
        <v>464</v>
      </c>
      <c r="C216" t="s">
        <v>256</v>
      </c>
      <c r="D216" t="s">
        <v>26</v>
      </c>
      <c r="E216" t="s">
        <v>27</v>
      </c>
      <c r="F216" t="s">
        <v>28</v>
      </c>
      <c r="G216">
        <v>2</v>
      </c>
      <c r="H216">
        <v>743.72</v>
      </c>
      <c r="I216">
        <v>0</v>
      </c>
      <c r="J216" t="s">
        <v>22</v>
      </c>
      <c r="K216">
        <f>SalesTable[[#This Row],[Quantity]]*SalesTable[[#This Row],[Unit Price]]*(1-SalesTable[[#This Row],[Discount (%)]]/100)</f>
        <v>1487.44</v>
      </c>
    </row>
    <row r="217" spans="1:11" x14ac:dyDescent="0.25">
      <c r="A217" s="6">
        <v>46135</v>
      </c>
      <c r="B217" t="s">
        <v>466</v>
      </c>
      <c r="C217" t="s">
        <v>265</v>
      </c>
      <c r="D217" t="s">
        <v>26</v>
      </c>
      <c r="E217" t="s">
        <v>27</v>
      </c>
      <c r="F217" t="s">
        <v>51</v>
      </c>
      <c r="G217">
        <v>9</v>
      </c>
      <c r="H217">
        <v>141.15</v>
      </c>
      <c r="I217">
        <v>5</v>
      </c>
      <c r="J217" t="s">
        <v>16</v>
      </c>
      <c r="K217">
        <f>SalesTable[[#This Row],[Quantity]]*SalesTable[[#This Row],[Unit Price]]*(1-SalesTable[[#This Row],[Discount (%)]]/100)</f>
        <v>1206.8325</v>
      </c>
    </row>
    <row r="218" spans="1:11" x14ac:dyDescent="0.25">
      <c r="A218" s="6">
        <v>46171</v>
      </c>
      <c r="B218" t="s">
        <v>467</v>
      </c>
      <c r="C218" t="s">
        <v>229</v>
      </c>
      <c r="D218" t="s">
        <v>20</v>
      </c>
      <c r="E218" t="s">
        <v>14</v>
      </c>
      <c r="F218" t="s">
        <v>15</v>
      </c>
      <c r="G218">
        <v>2</v>
      </c>
      <c r="H218">
        <v>13.79</v>
      </c>
      <c r="I218">
        <v>15</v>
      </c>
      <c r="J218" t="s">
        <v>16</v>
      </c>
      <c r="K218">
        <f>SalesTable[[#This Row],[Quantity]]*SalesTable[[#This Row],[Unit Price]]*(1-SalesTable[[#This Row],[Discount (%)]]/100)</f>
        <v>23.442999999999998</v>
      </c>
    </row>
    <row r="219" spans="1:11" x14ac:dyDescent="0.25">
      <c r="A219" s="6">
        <v>46075</v>
      </c>
      <c r="B219" t="s">
        <v>468</v>
      </c>
      <c r="C219" t="s">
        <v>88</v>
      </c>
      <c r="D219" t="s">
        <v>26</v>
      </c>
      <c r="E219" t="s">
        <v>62</v>
      </c>
      <c r="F219" t="s">
        <v>63</v>
      </c>
      <c r="G219">
        <v>1</v>
      </c>
      <c r="H219">
        <v>821.28</v>
      </c>
      <c r="I219">
        <v>10</v>
      </c>
      <c r="J219" t="s">
        <v>98</v>
      </c>
      <c r="K219">
        <f>SalesTable[[#This Row],[Quantity]]*SalesTable[[#This Row],[Unit Price]]*(1-SalesTable[[#This Row],[Discount (%)]]/100)</f>
        <v>739.15200000000004</v>
      </c>
    </row>
    <row r="220" spans="1:11" x14ac:dyDescent="0.25">
      <c r="A220" s="6">
        <v>46208</v>
      </c>
      <c r="B220" t="s">
        <v>469</v>
      </c>
      <c r="C220" t="s">
        <v>265</v>
      </c>
      <c r="D220" t="s">
        <v>13</v>
      </c>
      <c r="E220" t="s">
        <v>33</v>
      </c>
      <c r="F220" t="s">
        <v>34</v>
      </c>
      <c r="G220">
        <v>8</v>
      </c>
      <c r="H220">
        <v>907.26</v>
      </c>
      <c r="I220">
        <v>5</v>
      </c>
      <c r="J220" t="s">
        <v>47</v>
      </c>
      <c r="K220">
        <f>SalesTable[[#This Row],[Quantity]]*SalesTable[[#This Row],[Unit Price]]*(1-SalesTable[[#This Row],[Discount (%)]]/100)</f>
        <v>6895.1759999999995</v>
      </c>
    </row>
    <row r="221" spans="1:11" x14ac:dyDescent="0.25">
      <c r="A221" s="6">
        <v>46115</v>
      </c>
      <c r="B221" t="s">
        <v>470</v>
      </c>
      <c r="C221" t="s">
        <v>104</v>
      </c>
      <c r="D221" t="s">
        <v>20</v>
      </c>
      <c r="E221" t="s">
        <v>14</v>
      </c>
      <c r="F221" t="s">
        <v>15</v>
      </c>
      <c r="G221">
        <v>8</v>
      </c>
      <c r="H221">
        <v>1013.73</v>
      </c>
      <c r="I221">
        <v>15</v>
      </c>
      <c r="J221" t="s">
        <v>16</v>
      </c>
      <c r="K221">
        <f>SalesTable[[#This Row],[Quantity]]*SalesTable[[#This Row],[Unit Price]]*(1-SalesTable[[#This Row],[Discount (%)]]/100)</f>
        <v>6893.3639999999996</v>
      </c>
    </row>
    <row r="222" spans="1:11" x14ac:dyDescent="0.25">
      <c r="A222" s="6">
        <v>46176</v>
      </c>
      <c r="B222" t="s">
        <v>472</v>
      </c>
      <c r="C222" t="s">
        <v>318</v>
      </c>
      <c r="D222" t="s">
        <v>41</v>
      </c>
      <c r="E222" t="s">
        <v>27</v>
      </c>
      <c r="F222" t="s">
        <v>42</v>
      </c>
      <c r="G222">
        <v>7</v>
      </c>
      <c r="H222">
        <v>1161.8</v>
      </c>
      <c r="I222">
        <v>5</v>
      </c>
      <c r="J222" t="s">
        <v>108</v>
      </c>
      <c r="K222">
        <f>SalesTable[[#This Row],[Quantity]]*SalesTable[[#This Row],[Unit Price]]*(1-SalesTable[[#This Row],[Discount (%)]]/100)</f>
        <v>7725.9699999999993</v>
      </c>
    </row>
    <row r="223" spans="1:11" x14ac:dyDescent="0.25">
      <c r="A223" s="6">
        <v>46150</v>
      </c>
      <c r="B223" t="s">
        <v>474</v>
      </c>
      <c r="C223" t="s">
        <v>216</v>
      </c>
      <c r="D223" t="s">
        <v>26</v>
      </c>
      <c r="E223" t="s">
        <v>33</v>
      </c>
      <c r="F223" t="s">
        <v>46</v>
      </c>
      <c r="G223">
        <v>3</v>
      </c>
      <c r="H223">
        <v>357.46</v>
      </c>
      <c r="I223">
        <v>5</v>
      </c>
      <c r="J223" t="s">
        <v>29</v>
      </c>
      <c r="K223">
        <f>SalesTable[[#This Row],[Quantity]]*SalesTable[[#This Row],[Unit Price]]*(1-SalesTable[[#This Row],[Discount (%)]]/100)</f>
        <v>1018.7609999999999</v>
      </c>
    </row>
    <row r="224" spans="1:11" x14ac:dyDescent="0.25">
      <c r="A224" s="6">
        <v>46045</v>
      </c>
      <c r="B224" t="s">
        <v>475</v>
      </c>
      <c r="C224" t="s">
        <v>476</v>
      </c>
      <c r="D224" t="s">
        <v>20</v>
      </c>
      <c r="E224" t="s">
        <v>14</v>
      </c>
      <c r="F224" t="s">
        <v>15</v>
      </c>
      <c r="G224">
        <v>7</v>
      </c>
      <c r="H224">
        <v>523.88</v>
      </c>
      <c r="I224">
        <v>15</v>
      </c>
      <c r="J224" t="s">
        <v>16</v>
      </c>
      <c r="K224">
        <f>SalesTable[[#This Row],[Quantity]]*SalesTable[[#This Row],[Unit Price]]*(1-SalesTable[[#This Row],[Discount (%)]]/100)</f>
        <v>3117.0859999999998</v>
      </c>
    </row>
    <row r="225" spans="1:11" x14ac:dyDescent="0.25">
      <c r="A225" s="6">
        <v>46061</v>
      </c>
      <c r="B225" t="s">
        <v>478</v>
      </c>
      <c r="C225" t="s">
        <v>275</v>
      </c>
      <c r="D225" t="s">
        <v>41</v>
      </c>
      <c r="E225" t="s">
        <v>14</v>
      </c>
      <c r="F225" t="s">
        <v>21</v>
      </c>
      <c r="G225">
        <v>7</v>
      </c>
      <c r="H225">
        <v>491.11</v>
      </c>
      <c r="I225">
        <v>0</v>
      </c>
      <c r="J225" t="s">
        <v>98</v>
      </c>
      <c r="K225">
        <f>SalesTable[[#This Row],[Quantity]]*SalesTable[[#This Row],[Unit Price]]*(1-SalesTable[[#This Row],[Discount (%)]]/100)</f>
        <v>3437.77</v>
      </c>
    </row>
    <row r="226" spans="1:11" x14ac:dyDescent="0.25">
      <c r="A226" s="6">
        <v>46078</v>
      </c>
      <c r="B226" t="s">
        <v>479</v>
      </c>
      <c r="C226" t="s">
        <v>91</v>
      </c>
      <c r="D226" t="s">
        <v>41</v>
      </c>
      <c r="E226" t="s">
        <v>14</v>
      </c>
      <c r="F226" t="s">
        <v>76</v>
      </c>
      <c r="G226">
        <v>1</v>
      </c>
      <c r="H226">
        <v>775.78</v>
      </c>
      <c r="I226">
        <v>5</v>
      </c>
      <c r="J226" t="s">
        <v>108</v>
      </c>
      <c r="K226">
        <f>SalesTable[[#This Row],[Quantity]]*SalesTable[[#This Row],[Unit Price]]*(1-SalesTable[[#This Row],[Discount (%)]]/100)</f>
        <v>736.99099999999999</v>
      </c>
    </row>
    <row r="227" spans="1:11" x14ac:dyDescent="0.25">
      <c r="A227" s="6">
        <v>46054</v>
      </c>
      <c r="B227" t="s">
        <v>480</v>
      </c>
      <c r="C227" t="s">
        <v>104</v>
      </c>
      <c r="D227" t="s">
        <v>41</v>
      </c>
      <c r="E227" t="s">
        <v>27</v>
      </c>
      <c r="F227" t="s">
        <v>42</v>
      </c>
      <c r="G227">
        <v>5</v>
      </c>
      <c r="H227">
        <v>324</v>
      </c>
      <c r="I227">
        <v>15</v>
      </c>
      <c r="J227" t="s">
        <v>108</v>
      </c>
      <c r="K227">
        <f>SalesTable[[#This Row],[Quantity]]*SalesTable[[#This Row],[Unit Price]]*(1-SalesTable[[#This Row],[Discount (%)]]/100)</f>
        <v>1377</v>
      </c>
    </row>
    <row r="228" spans="1:11" x14ac:dyDescent="0.25">
      <c r="A228" s="6">
        <v>46139</v>
      </c>
      <c r="B228" t="s">
        <v>481</v>
      </c>
      <c r="C228" t="s">
        <v>168</v>
      </c>
      <c r="D228" t="s">
        <v>41</v>
      </c>
      <c r="E228" t="s">
        <v>14</v>
      </c>
      <c r="F228" t="s">
        <v>21</v>
      </c>
      <c r="G228">
        <v>9</v>
      </c>
      <c r="H228">
        <v>811.44</v>
      </c>
      <c r="I228">
        <v>15</v>
      </c>
      <c r="J228" t="s">
        <v>29</v>
      </c>
      <c r="K228">
        <f>SalesTable[[#This Row],[Quantity]]*SalesTable[[#This Row],[Unit Price]]*(1-SalesTable[[#This Row],[Discount (%)]]/100)</f>
        <v>6207.5160000000005</v>
      </c>
    </row>
    <row r="229" spans="1:11" x14ac:dyDescent="0.25">
      <c r="A229" s="6">
        <v>46106</v>
      </c>
      <c r="B229" t="s">
        <v>483</v>
      </c>
      <c r="C229" t="s">
        <v>186</v>
      </c>
      <c r="D229" t="s">
        <v>13</v>
      </c>
      <c r="E229" t="s">
        <v>62</v>
      </c>
      <c r="F229" t="s">
        <v>73</v>
      </c>
      <c r="G229">
        <v>9</v>
      </c>
      <c r="H229">
        <v>1014.2</v>
      </c>
      <c r="I229">
        <v>10</v>
      </c>
      <c r="J229" t="s">
        <v>108</v>
      </c>
      <c r="K229">
        <f>SalesTable[[#This Row],[Quantity]]*SalesTable[[#This Row],[Unit Price]]*(1-SalesTable[[#This Row],[Discount (%)]]/100)</f>
        <v>8215.02</v>
      </c>
    </row>
    <row r="230" spans="1:11" x14ac:dyDescent="0.25">
      <c r="A230" s="6">
        <v>46033</v>
      </c>
      <c r="B230" t="s">
        <v>484</v>
      </c>
      <c r="C230" t="s">
        <v>135</v>
      </c>
      <c r="D230" t="s">
        <v>20</v>
      </c>
      <c r="E230" t="s">
        <v>62</v>
      </c>
      <c r="F230" t="s">
        <v>92</v>
      </c>
      <c r="G230">
        <v>5</v>
      </c>
      <c r="H230">
        <v>947.47</v>
      </c>
      <c r="I230">
        <v>15</v>
      </c>
      <c r="J230" t="s">
        <v>29</v>
      </c>
      <c r="K230">
        <f>SalesTable[[#This Row],[Quantity]]*SalesTable[[#This Row],[Unit Price]]*(1-SalesTable[[#This Row],[Discount (%)]]/100)</f>
        <v>4026.7475000000004</v>
      </c>
    </row>
    <row r="231" spans="1:11" x14ac:dyDescent="0.25">
      <c r="A231" s="6">
        <v>46155</v>
      </c>
      <c r="B231" t="s">
        <v>485</v>
      </c>
      <c r="C231" t="s">
        <v>32</v>
      </c>
      <c r="D231" t="s">
        <v>13</v>
      </c>
      <c r="E231" t="s">
        <v>33</v>
      </c>
      <c r="F231" t="s">
        <v>82</v>
      </c>
      <c r="G231">
        <v>9</v>
      </c>
      <c r="H231">
        <v>149.75</v>
      </c>
      <c r="I231">
        <v>15</v>
      </c>
      <c r="J231" t="s">
        <v>47</v>
      </c>
      <c r="K231">
        <f>SalesTable[[#This Row],[Quantity]]*SalesTable[[#This Row],[Unit Price]]*(1-SalesTable[[#This Row],[Discount (%)]]/100)</f>
        <v>1145.5874999999999</v>
      </c>
    </row>
    <row r="232" spans="1:11" x14ac:dyDescent="0.25">
      <c r="A232" s="6">
        <v>46041</v>
      </c>
      <c r="B232" t="s">
        <v>487</v>
      </c>
      <c r="C232" t="s">
        <v>142</v>
      </c>
      <c r="D232" t="s">
        <v>13</v>
      </c>
      <c r="E232" t="s">
        <v>14</v>
      </c>
      <c r="F232" t="s">
        <v>15</v>
      </c>
      <c r="G232">
        <v>1</v>
      </c>
      <c r="H232">
        <v>1023.52</v>
      </c>
      <c r="I232">
        <v>5</v>
      </c>
      <c r="J232" t="s">
        <v>29</v>
      </c>
      <c r="K232">
        <f>SalesTable[[#This Row],[Quantity]]*SalesTable[[#This Row],[Unit Price]]*(1-SalesTable[[#This Row],[Discount (%)]]/100)</f>
        <v>972.34399999999994</v>
      </c>
    </row>
    <row r="233" spans="1:11" x14ac:dyDescent="0.25">
      <c r="A233" s="6">
        <v>46163</v>
      </c>
      <c r="B233" t="s">
        <v>488</v>
      </c>
      <c r="C233" t="s">
        <v>251</v>
      </c>
      <c r="D233" t="s">
        <v>26</v>
      </c>
      <c r="E233" t="s">
        <v>14</v>
      </c>
      <c r="F233" t="s">
        <v>21</v>
      </c>
      <c r="G233">
        <v>9</v>
      </c>
      <c r="H233">
        <v>826.29</v>
      </c>
      <c r="I233">
        <v>10</v>
      </c>
      <c r="J233" t="s">
        <v>22</v>
      </c>
      <c r="K233">
        <f>SalesTable[[#This Row],[Quantity]]*SalesTable[[#This Row],[Unit Price]]*(1-SalesTable[[#This Row],[Discount (%)]]/100)</f>
        <v>6692.9489999999996</v>
      </c>
    </row>
    <row r="234" spans="1:11" x14ac:dyDescent="0.25">
      <c r="A234" s="6">
        <v>46186</v>
      </c>
      <c r="B234" t="s">
        <v>489</v>
      </c>
      <c r="C234" t="s">
        <v>88</v>
      </c>
      <c r="D234" t="s">
        <v>20</v>
      </c>
      <c r="E234" t="s">
        <v>14</v>
      </c>
      <c r="F234" t="s">
        <v>15</v>
      </c>
      <c r="G234">
        <v>3</v>
      </c>
      <c r="H234">
        <v>342.31</v>
      </c>
      <c r="I234">
        <v>5</v>
      </c>
      <c r="J234" t="s">
        <v>29</v>
      </c>
      <c r="K234">
        <f>SalesTable[[#This Row],[Quantity]]*SalesTable[[#This Row],[Unit Price]]*(1-SalesTable[[#This Row],[Discount (%)]]/100)</f>
        <v>975.58349999999996</v>
      </c>
    </row>
    <row r="235" spans="1:11" x14ac:dyDescent="0.25">
      <c r="A235" s="6">
        <v>46071</v>
      </c>
      <c r="B235" t="s">
        <v>491</v>
      </c>
      <c r="C235" t="s">
        <v>50</v>
      </c>
      <c r="D235" t="s">
        <v>13</v>
      </c>
      <c r="E235" t="s">
        <v>33</v>
      </c>
      <c r="F235" t="s">
        <v>46</v>
      </c>
      <c r="G235">
        <v>5</v>
      </c>
      <c r="H235">
        <v>484.27</v>
      </c>
      <c r="I235">
        <v>0</v>
      </c>
      <c r="J235" t="s">
        <v>22</v>
      </c>
      <c r="K235">
        <f>SalesTable[[#This Row],[Quantity]]*SalesTable[[#This Row],[Unit Price]]*(1-SalesTable[[#This Row],[Discount (%)]]/100)</f>
        <v>2421.35</v>
      </c>
    </row>
    <row r="236" spans="1:11" x14ac:dyDescent="0.25">
      <c r="A236" s="6">
        <v>46057</v>
      </c>
      <c r="B236" t="s">
        <v>492</v>
      </c>
      <c r="C236" t="s">
        <v>422</v>
      </c>
      <c r="D236" t="s">
        <v>20</v>
      </c>
      <c r="E236" t="s">
        <v>33</v>
      </c>
      <c r="F236" t="s">
        <v>34</v>
      </c>
      <c r="G236">
        <v>7</v>
      </c>
      <c r="H236">
        <v>1177.26</v>
      </c>
      <c r="I236">
        <v>15</v>
      </c>
      <c r="J236" t="s">
        <v>108</v>
      </c>
      <c r="K236">
        <f>SalesTable[[#This Row],[Quantity]]*SalesTable[[#This Row],[Unit Price]]*(1-SalesTable[[#This Row],[Discount (%)]]/100)</f>
        <v>7004.6969999999992</v>
      </c>
    </row>
    <row r="237" spans="1:11" x14ac:dyDescent="0.25">
      <c r="A237" s="6">
        <v>46088</v>
      </c>
      <c r="B237" t="s">
        <v>493</v>
      </c>
      <c r="C237" t="s">
        <v>258</v>
      </c>
      <c r="D237" t="s">
        <v>20</v>
      </c>
      <c r="E237" t="s">
        <v>14</v>
      </c>
      <c r="F237" t="s">
        <v>15</v>
      </c>
      <c r="G237">
        <v>2</v>
      </c>
      <c r="H237">
        <v>492.76</v>
      </c>
      <c r="I237">
        <v>5</v>
      </c>
      <c r="J237" t="s">
        <v>29</v>
      </c>
      <c r="K237">
        <f>SalesTable[[#This Row],[Quantity]]*SalesTable[[#This Row],[Unit Price]]*(1-SalesTable[[#This Row],[Discount (%)]]/100)</f>
        <v>936.24399999999991</v>
      </c>
    </row>
    <row r="238" spans="1:11" x14ac:dyDescent="0.25">
      <c r="A238" s="6">
        <v>46108</v>
      </c>
      <c r="B238" t="s">
        <v>494</v>
      </c>
      <c r="C238" t="s">
        <v>40</v>
      </c>
      <c r="D238" t="s">
        <v>41</v>
      </c>
      <c r="E238" t="s">
        <v>27</v>
      </c>
      <c r="F238" t="s">
        <v>28</v>
      </c>
      <c r="G238">
        <v>6</v>
      </c>
      <c r="H238">
        <v>451.74</v>
      </c>
      <c r="I238">
        <v>15</v>
      </c>
      <c r="J238" t="s">
        <v>29</v>
      </c>
      <c r="K238">
        <f>SalesTable[[#This Row],[Quantity]]*SalesTable[[#This Row],[Unit Price]]*(1-SalesTable[[#This Row],[Discount (%)]]/100)</f>
        <v>2303.8739999999998</v>
      </c>
    </row>
    <row r="239" spans="1:11" x14ac:dyDescent="0.25">
      <c r="A239" s="6">
        <v>46040</v>
      </c>
      <c r="B239" t="s">
        <v>495</v>
      </c>
      <c r="C239" t="s">
        <v>19</v>
      </c>
      <c r="D239" t="s">
        <v>20</v>
      </c>
      <c r="E239" t="s">
        <v>33</v>
      </c>
      <c r="F239" t="s">
        <v>46</v>
      </c>
      <c r="G239">
        <v>10</v>
      </c>
      <c r="H239">
        <v>650.41999999999996</v>
      </c>
      <c r="I239">
        <v>0</v>
      </c>
      <c r="J239" t="s">
        <v>22</v>
      </c>
      <c r="K239">
        <f>SalesTable[[#This Row],[Quantity]]*SalesTable[[#This Row],[Unit Price]]*(1-SalesTable[[#This Row],[Discount (%)]]/100)</f>
        <v>6504.2</v>
      </c>
    </row>
    <row r="240" spans="1:11" x14ac:dyDescent="0.25">
      <c r="A240" s="6">
        <v>46216</v>
      </c>
      <c r="B240" t="s">
        <v>496</v>
      </c>
      <c r="C240" t="s">
        <v>356</v>
      </c>
      <c r="D240" t="s">
        <v>41</v>
      </c>
      <c r="E240" t="s">
        <v>62</v>
      </c>
      <c r="F240" t="s">
        <v>73</v>
      </c>
      <c r="G240">
        <v>9</v>
      </c>
      <c r="H240">
        <v>116.9</v>
      </c>
      <c r="I240">
        <v>5</v>
      </c>
      <c r="J240" t="s">
        <v>29</v>
      </c>
      <c r="K240">
        <f>SalesTable[[#This Row],[Quantity]]*SalesTable[[#This Row],[Unit Price]]*(1-SalesTable[[#This Row],[Discount (%)]]/100)</f>
        <v>999.49500000000012</v>
      </c>
    </row>
    <row r="241" spans="1:11" x14ac:dyDescent="0.25">
      <c r="A241" s="6">
        <v>46219</v>
      </c>
      <c r="B241" t="s">
        <v>497</v>
      </c>
      <c r="C241" t="s">
        <v>58</v>
      </c>
      <c r="D241" t="s">
        <v>26</v>
      </c>
      <c r="E241" t="s">
        <v>62</v>
      </c>
      <c r="F241" t="s">
        <v>79</v>
      </c>
      <c r="G241">
        <v>8</v>
      </c>
      <c r="H241">
        <v>126.64</v>
      </c>
      <c r="I241">
        <v>15</v>
      </c>
      <c r="J241" t="s">
        <v>29</v>
      </c>
      <c r="K241">
        <f>SalesTable[[#This Row],[Quantity]]*SalesTable[[#This Row],[Unit Price]]*(1-SalesTable[[#This Row],[Discount (%)]]/100)</f>
        <v>861.15199999999993</v>
      </c>
    </row>
    <row r="242" spans="1:11" x14ac:dyDescent="0.25">
      <c r="A242" s="6">
        <v>46202</v>
      </c>
      <c r="B242" t="s">
        <v>498</v>
      </c>
      <c r="C242" t="s">
        <v>145</v>
      </c>
      <c r="D242" t="s">
        <v>26</v>
      </c>
      <c r="E242" t="s">
        <v>27</v>
      </c>
      <c r="F242" t="s">
        <v>42</v>
      </c>
      <c r="G242">
        <v>6</v>
      </c>
      <c r="H242">
        <v>562.16999999999996</v>
      </c>
      <c r="I242">
        <v>0</v>
      </c>
      <c r="J242" t="s">
        <v>47</v>
      </c>
      <c r="K242">
        <f>SalesTable[[#This Row],[Quantity]]*SalesTable[[#This Row],[Unit Price]]*(1-SalesTable[[#This Row],[Discount (%)]]/100)</f>
        <v>3373.0199999999995</v>
      </c>
    </row>
    <row r="243" spans="1:11" x14ac:dyDescent="0.25">
      <c r="A243" s="6">
        <v>46077</v>
      </c>
      <c r="B243" t="s">
        <v>499</v>
      </c>
      <c r="C243" t="s">
        <v>370</v>
      </c>
      <c r="D243" t="s">
        <v>26</v>
      </c>
      <c r="E243" t="s">
        <v>27</v>
      </c>
      <c r="F243" t="s">
        <v>51</v>
      </c>
      <c r="G243">
        <v>6</v>
      </c>
      <c r="H243">
        <v>898.24</v>
      </c>
      <c r="I243">
        <v>0</v>
      </c>
      <c r="J243" t="s">
        <v>47</v>
      </c>
      <c r="K243">
        <f>SalesTable[[#This Row],[Quantity]]*SalesTable[[#This Row],[Unit Price]]*(1-SalesTable[[#This Row],[Discount (%)]]/100)</f>
        <v>5389.4400000000005</v>
      </c>
    </row>
    <row r="244" spans="1:11" x14ac:dyDescent="0.25">
      <c r="A244" s="6">
        <v>46060</v>
      </c>
      <c r="B244" t="s">
        <v>500</v>
      </c>
      <c r="C244" t="s">
        <v>314</v>
      </c>
      <c r="D244" t="s">
        <v>41</v>
      </c>
      <c r="E244" t="s">
        <v>14</v>
      </c>
      <c r="F244" t="s">
        <v>76</v>
      </c>
      <c r="G244">
        <v>2</v>
      </c>
      <c r="H244">
        <v>880.02</v>
      </c>
      <c r="I244">
        <v>15</v>
      </c>
      <c r="J244" t="s">
        <v>29</v>
      </c>
      <c r="K244">
        <f>SalesTable[[#This Row],[Quantity]]*SalesTable[[#This Row],[Unit Price]]*(1-SalesTable[[#This Row],[Discount (%)]]/100)</f>
        <v>1496.0339999999999</v>
      </c>
    </row>
    <row r="245" spans="1:11" x14ac:dyDescent="0.25">
      <c r="A245" s="6">
        <v>46117</v>
      </c>
      <c r="B245" t="s">
        <v>502</v>
      </c>
      <c r="C245" t="s">
        <v>503</v>
      </c>
      <c r="D245" t="s">
        <v>41</v>
      </c>
      <c r="E245" t="s">
        <v>62</v>
      </c>
      <c r="F245" t="s">
        <v>92</v>
      </c>
      <c r="G245">
        <v>6</v>
      </c>
      <c r="H245">
        <v>1016.26</v>
      </c>
      <c r="I245">
        <v>5</v>
      </c>
      <c r="J245" t="s">
        <v>108</v>
      </c>
      <c r="K245">
        <f>SalesTable[[#This Row],[Quantity]]*SalesTable[[#This Row],[Unit Price]]*(1-SalesTable[[#This Row],[Discount (%)]]/100)</f>
        <v>5792.6819999999989</v>
      </c>
    </row>
    <row r="246" spans="1:11" x14ac:dyDescent="0.25">
      <c r="A246" s="6">
        <v>46126</v>
      </c>
      <c r="B246" t="s">
        <v>504</v>
      </c>
      <c r="C246" t="s">
        <v>289</v>
      </c>
      <c r="D246" t="s">
        <v>41</v>
      </c>
      <c r="E246" t="s">
        <v>14</v>
      </c>
      <c r="F246" t="s">
        <v>21</v>
      </c>
      <c r="G246">
        <v>5</v>
      </c>
      <c r="H246">
        <v>1168.8599999999999</v>
      </c>
      <c r="I246">
        <v>5</v>
      </c>
      <c r="J246" t="s">
        <v>29</v>
      </c>
      <c r="K246">
        <f>SalesTable[[#This Row],[Quantity]]*SalesTable[[#This Row],[Unit Price]]*(1-SalesTable[[#This Row],[Discount (%)]]/100)</f>
        <v>5552.0849999999991</v>
      </c>
    </row>
    <row r="247" spans="1:11" x14ac:dyDescent="0.25">
      <c r="A247" s="6">
        <v>46100</v>
      </c>
      <c r="B247" t="s">
        <v>506</v>
      </c>
      <c r="C247" t="s">
        <v>222</v>
      </c>
      <c r="D247" t="s">
        <v>26</v>
      </c>
      <c r="E247" t="s">
        <v>27</v>
      </c>
      <c r="F247" t="s">
        <v>28</v>
      </c>
      <c r="G247">
        <v>9</v>
      </c>
      <c r="H247">
        <v>1124.96</v>
      </c>
      <c r="I247">
        <v>0</v>
      </c>
      <c r="J247" t="s">
        <v>22</v>
      </c>
      <c r="K247">
        <f>SalesTable[[#This Row],[Quantity]]*SalesTable[[#This Row],[Unit Price]]*(1-SalesTable[[#This Row],[Discount (%)]]/100)</f>
        <v>10124.64</v>
      </c>
    </row>
    <row r="248" spans="1:11" x14ac:dyDescent="0.25">
      <c r="A248" s="6">
        <v>46042</v>
      </c>
      <c r="B248" t="s">
        <v>508</v>
      </c>
      <c r="C248" t="s">
        <v>97</v>
      </c>
      <c r="D248" t="s">
        <v>13</v>
      </c>
      <c r="E248" t="s">
        <v>62</v>
      </c>
      <c r="F248" t="s">
        <v>73</v>
      </c>
      <c r="G248">
        <v>9</v>
      </c>
      <c r="H248">
        <v>522.04</v>
      </c>
      <c r="I248">
        <v>10</v>
      </c>
      <c r="J248" t="s">
        <v>98</v>
      </c>
      <c r="K248">
        <f>SalesTable[[#This Row],[Quantity]]*SalesTable[[#This Row],[Unit Price]]*(1-SalesTable[[#This Row],[Discount (%)]]/100)</f>
        <v>4228.5239999999994</v>
      </c>
    </row>
    <row r="249" spans="1:11" x14ac:dyDescent="0.25">
      <c r="A249" s="6">
        <v>46190</v>
      </c>
      <c r="B249" t="s">
        <v>509</v>
      </c>
      <c r="C249" t="s">
        <v>503</v>
      </c>
      <c r="D249" t="s">
        <v>20</v>
      </c>
      <c r="E249" t="s">
        <v>33</v>
      </c>
      <c r="F249" t="s">
        <v>82</v>
      </c>
      <c r="G249">
        <v>7</v>
      </c>
      <c r="H249">
        <v>290.63</v>
      </c>
      <c r="I249">
        <v>5</v>
      </c>
      <c r="J249" t="s">
        <v>47</v>
      </c>
      <c r="K249">
        <f>SalesTable[[#This Row],[Quantity]]*SalesTable[[#This Row],[Unit Price]]*(1-SalesTable[[#This Row],[Discount (%)]]/100)</f>
        <v>1932.6894999999997</v>
      </c>
    </row>
    <row r="250" spans="1:11" x14ac:dyDescent="0.25">
      <c r="A250" s="6">
        <v>46112</v>
      </c>
      <c r="B250" t="s">
        <v>510</v>
      </c>
      <c r="C250" t="s">
        <v>104</v>
      </c>
      <c r="D250" t="s">
        <v>13</v>
      </c>
      <c r="E250" t="s">
        <v>14</v>
      </c>
      <c r="F250" t="s">
        <v>21</v>
      </c>
      <c r="G250">
        <v>3</v>
      </c>
      <c r="H250">
        <v>501.83</v>
      </c>
      <c r="I250">
        <v>0</v>
      </c>
      <c r="J250" t="s">
        <v>29</v>
      </c>
      <c r="K250">
        <f>SalesTable[[#This Row],[Quantity]]*SalesTable[[#This Row],[Unit Price]]*(1-SalesTable[[#This Row],[Discount (%)]]/100)</f>
        <v>1505.49</v>
      </c>
    </row>
    <row r="251" spans="1:11" x14ac:dyDescent="0.25">
      <c r="A251" s="6">
        <v>46146</v>
      </c>
      <c r="B251" t="s">
        <v>511</v>
      </c>
      <c r="C251" t="s">
        <v>112</v>
      </c>
      <c r="D251" t="s">
        <v>13</v>
      </c>
      <c r="E251" t="s">
        <v>33</v>
      </c>
      <c r="F251" t="s">
        <v>82</v>
      </c>
      <c r="G251">
        <v>5</v>
      </c>
      <c r="H251">
        <v>144.13999999999999</v>
      </c>
      <c r="I251">
        <v>5</v>
      </c>
      <c r="J251" t="s">
        <v>47</v>
      </c>
      <c r="K251">
        <f>SalesTable[[#This Row],[Quantity]]*SalesTable[[#This Row],[Unit Price]]*(1-SalesTable[[#This Row],[Discount (%)]]/100)</f>
        <v>684.66499999999985</v>
      </c>
    </row>
    <row r="252" spans="1:11" x14ac:dyDescent="0.25">
      <c r="A252" s="6">
        <v>46231</v>
      </c>
      <c r="B252" t="s">
        <v>513</v>
      </c>
      <c r="C252" t="s">
        <v>175</v>
      </c>
      <c r="D252" t="s">
        <v>26</v>
      </c>
      <c r="E252" t="s">
        <v>27</v>
      </c>
      <c r="F252" t="s">
        <v>51</v>
      </c>
      <c r="G252">
        <v>1</v>
      </c>
      <c r="H252">
        <v>365.1</v>
      </c>
      <c r="I252">
        <v>15</v>
      </c>
      <c r="J252" t="s">
        <v>47</v>
      </c>
      <c r="K252">
        <f>SalesTable[[#This Row],[Quantity]]*SalesTable[[#This Row],[Unit Price]]*(1-SalesTable[[#This Row],[Discount (%)]]/100)</f>
        <v>310.33500000000004</v>
      </c>
    </row>
    <row r="253" spans="1:11" x14ac:dyDescent="0.25">
      <c r="A253" s="6">
        <v>46044</v>
      </c>
      <c r="B253" t="s">
        <v>515</v>
      </c>
      <c r="C253" t="s">
        <v>45</v>
      </c>
      <c r="D253" t="s">
        <v>20</v>
      </c>
      <c r="E253" t="s">
        <v>27</v>
      </c>
      <c r="F253" t="s">
        <v>42</v>
      </c>
      <c r="G253">
        <v>8</v>
      </c>
      <c r="H253">
        <v>954.44</v>
      </c>
      <c r="I253">
        <v>10</v>
      </c>
      <c r="J253" t="s">
        <v>29</v>
      </c>
      <c r="K253">
        <f>SalesTable[[#This Row],[Quantity]]*SalesTable[[#This Row],[Unit Price]]*(1-SalesTable[[#This Row],[Discount (%)]]/100)</f>
        <v>6871.9680000000008</v>
      </c>
    </row>
    <row r="254" spans="1:11" x14ac:dyDescent="0.25">
      <c r="A254" s="6">
        <v>46105</v>
      </c>
      <c r="B254" t="s">
        <v>516</v>
      </c>
      <c r="C254" t="s">
        <v>222</v>
      </c>
      <c r="D254" t="s">
        <v>41</v>
      </c>
      <c r="E254" t="s">
        <v>14</v>
      </c>
      <c r="F254" t="s">
        <v>15</v>
      </c>
      <c r="G254">
        <v>7</v>
      </c>
      <c r="H254">
        <v>616.80999999999995</v>
      </c>
      <c r="I254">
        <v>0</v>
      </c>
      <c r="J254" t="s">
        <v>29</v>
      </c>
      <c r="K254">
        <f>SalesTable[[#This Row],[Quantity]]*SalesTable[[#This Row],[Unit Price]]*(1-SalesTable[[#This Row],[Discount (%)]]/100)</f>
        <v>4317.67</v>
      </c>
    </row>
    <row r="255" spans="1:11" x14ac:dyDescent="0.25">
      <c r="A255" s="6">
        <v>46193</v>
      </c>
      <c r="B255" t="s">
        <v>518</v>
      </c>
      <c r="C255" t="s">
        <v>379</v>
      </c>
      <c r="D255" t="s">
        <v>13</v>
      </c>
      <c r="E255" t="s">
        <v>33</v>
      </c>
      <c r="F255" t="s">
        <v>46</v>
      </c>
      <c r="G255">
        <v>2</v>
      </c>
      <c r="H255">
        <v>623.16</v>
      </c>
      <c r="I255">
        <v>0</v>
      </c>
      <c r="J255" t="s">
        <v>47</v>
      </c>
      <c r="K255">
        <f>SalesTable[[#This Row],[Quantity]]*SalesTable[[#This Row],[Unit Price]]*(1-SalesTable[[#This Row],[Discount (%)]]/100)</f>
        <v>1246.32</v>
      </c>
    </row>
    <row r="256" spans="1:11" x14ac:dyDescent="0.25">
      <c r="A256" s="6">
        <v>46144</v>
      </c>
      <c r="B256" t="s">
        <v>520</v>
      </c>
      <c r="C256" t="s">
        <v>32</v>
      </c>
      <c r="D256" t="s">
        <v>41</v>
      </c>
      <c r="E256" t="s">
        <v>33</v>
      </c>
      <c r="F256" t="s">
        <v>46</v>
      </c>
      <c r="G256">
        <v>8</v>
      </c>
      <c r="H256">
        <v>492.34</v>
      </c>
      <c r="I256">
        <v>15</v>
      </c>
      <c r="J256" t="s">
        <v>29</v>
      </c>
      <c r="K256">
        <f>SalesTable[[#This Row],[Quantity]]*SalesTable[[#This Row],[Unit Price]]*(1-SalesTable[[#This Row],[Discount (%)]]/100)</f>
        <v>3347.9119999999998</v>
      </c>
    </row>
    <row r="257" spans="1:11" x14ac:dyDescent="0.25">
      <c r="A257" s="6">
        <v>46049</v>
      </c>
      <c r="B257" t="s">
        <v>521</v>
      </c>
      <c r="C257" t="s">
        <v>239</v>
      </c>
      <c r="D257" t="s">
        <v>26</v>
      </c>
      <c r="E257" t="s">
        <v>33</v>
      </c>
      <c r="F257" t="s">
        <v>34</v>
      </c>
      <c r="G257">
        <v>5</v>
      </c>
      <c r="H257">
        <v>154.47999999999999</v>
      </c>
      <c r="I257">
        <v>5</v>
      </c>
      <c r="J257" t="s">
        <v>108</v>
      </c>
      <c r="K257">
        <f>SalesTable[[#This Row],[Quantity]]*SalesTable[[#This Row],[Unit Price]]*(1-SalesTable[[#This Row],[Discount (%)]]/100)</f>
        <v>733.78</v>
      </c>
    </row>
    <row r="258" spans="1:11" x14ac:dyDescent="0.25">
      <c r="A258" s="6">
        <v>46125</v>
      </c>
      <c r="B258" t="s">
        <v>522</v>
      </c>
      <c r="C258" t="s">
        <v>150</v>
      </c>
      <c r="D258" t="s">
        <v>13</v>
      </c>
      <c r="E258" t="s">
        <v>14</v>
      </c>
      <c r="F258" t="s">
        <v>21</v>
      </c>
      <c r="G258">
        <v>5</v>
      </c>
      <c r="H258">
        <v>1036.03</v>
      </c>
      <c r="I258">
        <v>10</v>
      </c>
      <c r="J258" t="s">
        <v>22</v>
      </c>
      <c r="K258">
        <f>SalesTable[[#This Row],[Quantity]]*SalesTable[[#This Row],[Unit Price]]*(1-SalesTable[[#This Row],[Discount (%)]]/100)</f>
        <v>4662.1350000000002</v>
      </c>
    </row>
    <row r="259" spans="1:11" x14ac:dyDescent="0.25">
      <c r="A259" s="6">
        <v>46196</v>
      </c>
      <c r="B259" t="s">
        <v>523</v>
      </c>
      <c r="C259" t="s">
        <v>117</v>
      </c>
      <c r="D259" t="s">
        <v>13</v>
      </c>
      <c r="E259" t="s">
        <v>14</v>
      </c>
      <c r="F259" t="s">
        <v>21</v>
      </c>
      <c r="G259">
        <v>2</v>
      </c>
      <c r="H259">
        <v>454.28</v>
      </c>
      <c r="I259">
        <v>15</v>
      </c>
      <c r="J259" t="s">
        <v>47</v>
      </c>
      <c r="K259">
        <f>SalesTable[[#This Row],[Quantity]]*SalesTable[[#This Row],[Unit Price]]*(1-SalesTable[[#This Row],[Discount (%)]]/100)</f>
        <v>772.27599999999995</v>
      </c>
    </row>
    <row r="260" spans="1:11" x14ac:dyDescent="0.25">
      <c r="A260" s="6">
        <v>46061</v>
      </c>
      <c r="B260" t="s">
        <v>524</v>
      </c>
      <c r="C260" t="s">
        <v>422</v>
      </c>
      <c r="D260" t="s">
        <v>13</v>
      </c>
      <c r="E260" t="s">
        <v>33</v>
      </c>
      <c r="F260" t="s">
        <v>34</v>
      </c>
      <c r="G260">
        <v>3</v>
      </c>
      <c r="H260">
        <v>927.65</v>
      </c>
      <c r="I260">
        <v>5</v>
      </c>
      <c r="J260" t="s">
        <v>47</v>
      </c>
      <c r="K260">
        <f>SalesTable[[#This Row],[Quantity]]*SalesTable[[#This Row],[Unit Price]]*(1-SalesTable[[#This Row],[Discount (%)]]/100)</f>
        <v>2643.8024999999998</v>
      </c>
    </row>
    <row r="261" spans="1:11" x14ac:dyDescent="0.25">
      <c r="A261" s="6">
        <v>46098</v>
      </c>
      <c r="B261" t="s">
        <v>525</v>
      </c>
      <c r="C261" t="s">
        <v>75</v>
      </c>
      <c r="D261" t="s">
        <v>41</v>
      </c>
      <c r="E261" t="s">
        <v>14</v>
      </c>
      <c r="F261" t="s">
        <v>76</v>
      </c>
      <c r="G261">
        <v>1</v>
      </c>
      <c r="H261">
        <v>639.85</v>
      </c>
      <c r="I261">
        <v>0</v>
      </c>
      <c r="J261" t="s">
        <v>47</v>
      </c>
      <c r="K261">
        <f>SalesTable[[#This Row],[Quantity]]*SalesTable[[#This Row],[Unit Price]]*(1-SalesTable[[#This Row],[Discount (%)]]/100)</f>
        <v>639.85</v>
      </c>
    </row>
    <row r="262" spans="1:11" x14ac:dyDescent="0.25">
      <c r="A262" s="6">
        <v>46034</v>
      </c>
      <c r="B262" t="s">
        <v>526</v>
      </c>
      <c r="C262" t="s">
        <v>422</v>
      </c>
      <c r="D262" t="s">
        <v>26</v>
      </c>
      <c r="E262" t="s">
        <v>14</v>
      </c>
      <c r="F262" t="s">
        <v>15</v>
      </c>
      <c r="G262">
        <v>1</v>
      </c>
      <c r="H262">
        <v>886.85</v>
      </c>
      <c r="I262">
        <v>10</v>
      </c>
      <c r="J262" t="s">
        <v>29</v>
      </c>
      <c r="K262">
        <f>SalesTable[[#This Row],[Quantity]]*SalesTable[[#This Row],[Unit Price]]*(1-SalesTable[[#This Row],[Discount (%)]]/100)</f>
        <v>798.16500000000008</v>
      </c>
    </row>
    <row r="263" spans="1:11" x14ac:dyDescent="0.25">
      <c r="A263" s="6">
        <v>46035</v>
      </c>
      <c r="B263" t="s">
        <v>528</v>
      </c>
      <c r="C263" t="s">
        <v>216</v>
      </c>
      <c r="D263" t="s">
        <v>41</v>
      </c>
      <c r="E263" t="s">
        <v>62</v>
      </c>
      <c r="F263" t="s">
        <v>79</v>
      </c>
      <c r="G263">
        <v>4</v>
      </c>
      <c r="H263">
        <v>366.28</v>
      </c>
      <c r="I263">
        <v>10</v>
      </c>
      <c r="J263" t="s">
        <v>16</v>
      </c>
      <c r="K263">
        <f>SalesTable[[#This Row],[Quantity]]*SalesTable[[#This Row],[Unit Price]]*(1-SalesTable[[#This Row],[Discount (%)]]/100)</f>
        <v>1318.6079999999999</v>
      </c>
    </row>
    <row r="264" spans="1:11" x14ac:dyDescent="0.25">
      <c r="A264" s="6">
        <v>46215</v>
      </c>
      <c r="B264" t="s">
        <v>529</v>
      </c>
      <c r="C264" t="s">
        <v>422</v>
      </c>
      <c r="D264" t="s">
        <v>26</v>
      </c>
      <c r="E264" t="s">
        <v>27</v>
      </c>
      <c r="F264" t="s">
        <v>51</v>
      </c>
      <c r="G264">
        <v>1</v>
      </c>
      <c r="H264">
        <v>94.27</v>
      </c>
      <c r="I264">
        <v>5</v>
      </c>
      <c r="J264" t="s">
        <v>47</v>
      </c>
      <c r="K264">
        <f>SalesTable[[#This Row],[Quantity]]*SalesTable[[#This Row],[Unit Price]]*(1-SalesTable[[#This Row],[Discount (%)]]/100)</f>
        <v>89.556499999999986</v>
      </c>
    </row>
    <row r="265" spans="1:11" x14ac:dyDescent="0.25">
      <c r="A265" s="6">
        <v>46198</v>
      </c>
      <c r="B265" t="s">
        <v>531</v>
      </c>
      <c r="C265" t="s">
        <v>239</v>
      </c>
      <c r="D265" t="s">
        <v>26</v>
      </c>
      <c r="E265" t="s">
        <v>27</v>
      </c>
      <c r="F265" t="s">
        <v>42</v>
      </c>
      <c r="G265">
        <v>7</v>
      </c>
      <c r="H265">
        <v>859.86</v>
      </c>
      <c r="I265">
        <v>15</v>
      </c>
      <c r="J265" t="s">
        <v>29</v>
      </c>
      <c r="K265">
        <f>SalesTable[[#This Row],[Quantity]]*SalesTable[[#This Row],[Unit Price]]*(1-SalesTable[[#This Row],[Discount (%)]]/100)</f>
        <v>5116.1670000000004</v>
      </c>
    </row>
    <row r="266" spans="1:11" x14ac:dyDescent="0.25">
      <c r="A266" s="6">
        <v>46024</v>
      </c>
      <c r="B266" t="s">
        <v>532</v>
      </c>
      <c r="C266" t="s">
        <v>132</v>
      </c>
      <c r="D266" t="s">
        <v>20</v>
      </c>
      <c r="E266" t="s">
        <v>62</v>
      </c>
      <c r="F266" t="s">
        <v>63</v>
      </c>
      <c r="G266">
        <v>10</v>
      </c>
      <c r="H266">
        <v>301.04000000000002</v>
      </c>
      <c r="I266">
        <v>10</v>
      </c>
      <c r="J266" t="s">
        <v>98</v>
      </c>
      <c r="K266">
        <f>SalesTable[[#This Row],[Quantity]]*SalesTable[[#This Row],[Unit Price]]*(1-SalesTable[[#This Row],[Discount (%)]]/100)</f>
        <v>2709.36</v>
      </c>
    </row>
    <row r="267" spans="1:11" x14ac:dyDescent="0.25">
      <c r="A267" s="6">
        <v>46038</v>
      </c>
      <c r="B267" t="s">
        <v>533</v>
      </c>
      <c r="C267" t="s">
        <v>135</v>
      </c>
      <c r="D267" t="s">
        <v>41</v>
      </c>
      <c r="E267" t="s">
        <v>33</v>
      </c>
      <c r="F267" t="s">
        <v>34</v>
      </c>
      <c r="G267">
        <v>5</v>
      </c>
      <c r="H267">
        <v>808.84</v>
      </c>
      <c r="I267">
        <v>15</v>
      </c>
      <c r="J267" t="s">
        <v>29</v>
      </c>
      <c r="K267">
        <f>SalesTable[[#This Row],[Quantity]]*SalesTable[[#This Row],[Unit Price]]*(1-SalesTable[[#This Row],[Discount (%)]]/100)</f>
        <v>3437.57</v>
      </c>
    </row>
    <row r="268" spans="1:11" x14ac:dyDescent="0.25">
      <c r="A268" s="6">
        <v>46046</v>
      </c>
      <c r="B268" t="s">
        <v>534</v>
      </c>
      <c r="C268" t="s">
        <v>61</v>
      </c>
      <c r="D268" t="s">
        <v>13</v>
      </c>
      <c r="E268" t="s">
        <v>27</v>
      </c>
      <c r="F268" t="s">
        <v>28</v>
      </c>
      <c r="G268">
        <v>1</v>
      </c>
      <c r="H268">
        <v>498.47</v>
      </c>
      <c r="I268">
        <v>5</v>
      </c>
      <c r="J268" t="s">
        <v>98</v>
      </c>
      <c r="K268">
        <f>SalesTable[[#This Row],[Quantity]]*SalesTable[[#This Row],[Unit Price]]*(1-SalesTable[[#This Row],[Discount (%)]]/100)</f>
        <v>473.54649999999998</v>
      </c>
    </row>
    <row r="269" spans="1:11" x14ac:dyDescent="0.25">
      <c r="A269" s="6">
        <v>46033</v>
      </c>
      <c r="B269" t="s">
        <v>535</v>
      </c>
      <c r="C269" t="s">
        <v>19</v>
      </c>
      <c r="D269" t="s">
        <v>26</v>
      </c>
      <c r="E269" t="s">
        <v>14</v>
      </c>
      <c r="F269" t="s">
        <v>76</v>
      </c>
      <c r="G269">
        <v>6</v>
      </c>
      <c r="H269">
        <v>931.82</v>
      </c>
      <c r="I269">
        <v>5</v>
      </c>
      <c r="J269" t="s">
        <v>16</v>
      </c>
      <c r="K269">
        <f>SalesTable[[#This Row],[Quantity]]*SalesTable[[#This Row],[Unit Price]]*(1-SalesTable[[#This Row],[Discount (%)]]/100)</f>
        <v>5311.3739999999998</v>
      </c>
    </row>
    <row r="270" spans="1:11" x14ac:dyDescent="0.25">
      <c r="A270" s="6">
        <v>46215</v>
      </c>
      <c r="B270" t="s">
        <v>536</v>
      </c>
      <c r="C270" t="s">
        <v>112</v>
      </c>
      <c r="D270" t="s">
        <v>26</v>
      </c>
      <c r="E270" t="s">
        <v>62</v>
      </c>
      <c r="F270" t="s">
        <v>92</v>
      </c>
      <c r="G270">
        <v>3</v>
      </c>
      <c r="H270">
        <v>438.17</v>
      </c>
      <c r="I270">
        <v>0</v>
      </c>
      <c r="J270" t="s">
        <v>16</v>
      </c>
      <c r="K270">
        <f>SalesTable[[#This Row],[Quantity]]*SalesTable[[#This Row],[Unit Price]]*(1-SalesTable[[#This Row],[Discount (%)]]/100)</f>
        <v>1314.51</v>
      </c>
    </row>
    <row r="271" spans="1:11" x14ac:dyDescent="0.25">
      <c r="A271" s="6">
        <v>46206</v>
      </c>
      <c r="B271" t="s">
        <v>537</v>
      </c>
      <c r="C271" t="s">
        <v>314</v>
      </c>
      <c r="D271" t="s">
        <v>26</v>
      </c>
      <c r="E271" t="s">
        <v>33</v>
      </c>
      <c r="F271" t="s">
        <v>46</v>
      </c>
      <c r="G271">
        <v>9</v>
      </c>
      <c r="H271">
        <v>161.24</v>
      </c>
      <c r="I271">
        <v>10</v>
      </c>
      <c r="J271" t="s">
        <v>98</v>
      </c>
      <c r="K271">
        <f>SalesTable[[#This Row],[Quantity]]*SalesTable[[#This Row],[Unit Price]]*(1-SalesTable[[#This Row],[Discount (%)]]/100)</f>
        <v>1306.0440000000001</v>
      </c>
    </row>
    <row r="272" spans="1:11" x14ac:dyDescent="0.25">
      <c r="A272" s="6">
        <v>46092</v>
      </c>
      <c r="B272" t="s">
        <v>538</v>
      </c>
      <c r="C272" t="s">
        <v>258</v>
      </c>
      <c r="D272" t="s">
        <v>26</v>
      </c>
      <c r="E272" t="s">
        <v>27</v>
      </c>
      <c r="F272" t="s">
        <v>51</v>
      </c>
      <c r="G272">
        <v>7</v>
      </c>
      <c r="H272">
        <v>84.12</v>
      </c>
      <c r="I272">
        <v>0</v>
      </c>
      <c r="J272" t="s">
        <v>98</v>
      </c>
      <c r="K272">
        <f>SalesTable[[#This Row],[Quantity]]*SalesTable[[#This Row],[Unit Price]]*(1-SalesTable[[#This Row],[Discount (%)]]/100)</f>
        <v>588.84</v>
      </c>
    </row>
    <row r="273" spans="1:11" x14ac:dyDescent="0.25">
      <c r="A273" s="6">
        <v>46174</v>
      </c>
      <c r="B273" t="s">
        <v>539</v>
      </c>
      <c r="C273" t="s">
        <v>314</v>
      </c>
      <c r="D273" t="s">
        <v>13</v>
      </c>
      <c r="E273" t="s">
        <v>14</v>
      </c>
      <c r="F273" t="s">
        <v>15</v>
      </c>
      <c r="G273">
        <v>10</v>
      </c>
      <c r="H273">
        <v>201.65</v>
      </c>
      <c r="I273">
        <v>0</v>
      </c>
      <c r="J273" t="s">
        <v>108</v>
      </c>
      <c r="K273">
        <f>SalesTable[[#This Row],[Quantity]]*SalesTable[[#This Row],[Unit Price]]*(1-SalesTable[[#This Row],[Discount (%)]]/100)</f>
        <v>2016.5</v>
      </c>
    </row>
    <row r="274" spans="1:11" x14ac:dyDescent="0.25">
      <c r="A274" s="6">
        <v>46210</v>
      </c>
      <c r="B274" t="s">
        <v>541</v>
      </c>
      <c r="C274" t="s">
        <v>192</v>
      </c>
      <c r="D274" t="s">
        <v>41</v>
      </c>
      <c r="E274" t="s">
        <v>33</v>
      </c>
      <c r="F274" t="s">
        <v>34</v>
      </c>
      <c r="G274">
        <v>5</v>
      </c>
      <c r="H274">
        <v>291.52999999999997</v>
      </c>
      <c r="I274">
        <v>15</v>
      </c>
      <c r="J274" t="s">
        <v>29</v>
      </c>
      <c r="K274">
        <f>SalesTable[[#This Row],[Quantity]]*SalesTable[[#This Row],[Unit Price]]*(1-SalesTable[[#This Row],[Discount (%)]]/100)</f>
        <v>1239.0024999999998</v>
      </c>
    </row>
    <row r="275" spans="1:11" x14ac:dyDescent="0.25">
      <c r="A275" s="6">
        <v>46096</v>
      </c>
      <c r="B275" t="s">
        <v>542</v>
      </c>
      <c r="C275" t="s">
        <v>251</v>
      </c>
      <c r="D275" t="s">
        <v>41</v>
      </c>
      <c r="E275" t="s">
        <v>14</v>
      </c>
      <c r="F275" t="s">
        <v>15</v>
      </c>
      <c r="G275">
        <v>1</v>
      </c>
      <c r="H275">
        <v>816.42</v>
      </c>
      <c r="I275">
        <v>5</v>
      </c>
      <c r="J275" t="s">
        <v>29</v>
      </c>
      <c r="K275">
        <f>SalesTable[[#This Row],[Quantity]]*SalesTable[[#This Row],[Unit Price]]*(1-SalesTable[[#This Row],[Discount (%)]]/100)</f>
        <v>775.59899999999993</v>
      </c>
    </row>
    <row r="276" spans="1:11" x14ac:dyDescent="0.25">
      <c r="A276" s="6">
        <v>46149</v>
      </c>
      <c r="B276" t="s">
        <v>543</v>
      </c>
      <c r="C276" t="s">
        <v>112</v>
      </c>
      <c r="D276" t="s">
        <v>13</v>
      </c>
      <c r="E276" t="s">
        <v>27</v>
      </c>
      <c r="F276" t="s">
        <v>42</v>
      </c>
      <c r="G276">
        <v>3</v>
      </c>
      <c r="H276">
        <v>288.08999999999997</v>
      </c>
      <c r="I276">
        <v>0</v>
      </c>
      <c r="J276" t="s">
        <v>16</v>
      </c>
      <c r="K276">
        <f>SalesTable[[#This Row],[Quantity]]*SalesTable[[#This Row],[Unit Price]]*(1-SalesTable[[#This Row],[Discount (%)]]/100)</f>
        <v>864.27</v>
      </c>
    </row>
    <row r="277" spans="1:11" x14ac:dyDescent="0.25">
      <c r="A277" s="6">
        <v>46057</v>
      </c>
      <c r="B277" t="s">
        <v>544</v>
      </c>
      <c r="C277" t="s">
        <v>25</v>
      </c>
      <c r="D277" t="s">
        <v>13</v>
      </c>
      <c r="E277" t="s">
        <v>14</v>
      </c>
      <c r="F277" t="s">
        <v>15</v>
      </c>
      <c r="G277">
        <v>7</v>
      </c>
      <c r="H277">
        <v>369.72</v>
      </c>
      <c r="I277">
        <v>5</v>
      </c>
      <c r="J277" t="s">
        <v>16</v>
      </c>
      <c r="K277">
        <f>SalesTable[[#This Row],[Quantity]]*SalesTable[[#This Row],[Unit Price]]*(1-SalesTable[[#This Row],[Discount (%)]]/100)</f>
        <v>2458.6379999999999</v>
      </c>
    </row>
    <row r="278" spans="1:11" x14ac:dyDescent="0.25">
      <c r="A278" s="6">
        <v>46120</v>
      </c>
      <c r="B278" t="s">
        <v>546</v>
      </c>
      <c r="C278" t="s">
        <v>129</v>
      </c>
      <c r="D278" t="s">
        <v>20</v>
      </c>
      <c r="E278" t="s">
        <v>33</v>
      </c>
      <c r="F278" t="s">
        <v>34</v>
      </c>
      <c r="G278">
        <v>2</v>
      </c>
      <c r="H278">
        <v>1006.04</v>
      </c>
      <c r="I278">
        <v>10</v>
      </c>
      <c r="J278" t="s">
        <v>29</v>
      </c>
      <c r="K278">
        <f>SalesTable[[#This Row],[Quantity]]*SalesTable[[#This Row],[Unit Price]]*(1-SalesTable[[#This Row],[Discount (%)]]/100)</f>
        <v>1810.8720000000001</v>
      </c>
    </row>
    <row r="279" spans="1:11" x14ac:dyDescent="0.25">
      <c r="A279" s="6">
        <v>46090</v>
      </c>
      <c r="B279" t="s">
        <v>548</v>
      </c>
      <c r="C279" t="s">
        <v>503</v>
      </c>
      <c r="D279" t="s">
        <v>26</v>
      </c>
      <c r="E279" t="s">
        <v>27</v>
      </c>
      <c r="F279" t="s">
        <v>51</v>
      </c>
      <c r="G279">
        <v>7</v>
      </c>
      <c r="H279">
        <v>626.6</v>
      </c>
      <c r="I279">
        <v>0</v>
      </c>
      <c r="J279" t="s">
        <v>16</v>
      </c>
      <c r="K279">
        <f>SalesTable[[#This Row],[Quantity]]*SalesTable[[#This Row],[Unit Price]]*(1-SalesTable[[#This Row],[Discount (%)]]/100)</f>
        <v>4386.2</v>
      </c>
    </row>
    <row r="280" spans="1:11" x14ac:dyDescent="0.25">
      <c r="A280" s="6">
        <v>46104</v>
      </c>
      <c r="B280" t="s">
        <v>550</v>
      </c>
      <c r="C280" t="s">
        <v>25</v>
      </c>
      <c r="D280" t="s">
        <v>26</v>
      </c>
      <c r="E280" t="s">
        <v>27</v>
      </c>
      <c r="F280" t="s">
        <v>42</v>
      </c>
      <c r="G280">
        <v>5</v>
      </c>
      <c r="H280">
        <v>12.82</v>
      </c>
      <c r="I280">
        <v>0</v>
      </c>
      <c r="J280" t="s">
        <v>22</v>
      </c>
      <c r="K280">
        <f>SalesTable[[#This Row],[Quantity]]*SalesTable[[#This Row],[Unit Price]]*(1-SalesTable[[#This Row],[Discount (%)]]/100)</f>
        <v>64.099999999999994</v>
      </c>
    </row>
    <row r="281" spans="1:11" x14ac:dyDescent="0.25">
      <c r="A281" s="6">
        <v>46194</v>
      </c>
      <c r="B281" t="s">
        <v>551</v>
      </c>
      <c r="C281" t="s">
        <v>397</v>
      </c>
      <c r="D281" t="s">
        <v>26</v>
      </c>
      <c r="E281" t="s">
        <v>27</v>
      </c>
      <c r="F281" t="s">
        <v>28</v>
      </c>
      <c r="G281">
        <v>4</v>
      </c>
      <c r="H281">
        <v>535.25</v>
      </c>
      <c r="I281">
        <v>10</v>
      </c>
      <c r="J281" t="s">
        <v>29</v>
      </c>
      <c r="K281">
        <f>SalesTable[[#This Row],[Quantity]]*SalesTable[[#This Row],[Unit Price]]*(1-SalesTable[[#This Row],[Discount (%)]]/100)</f>
        <v>1926.9</v>
      </c>
    </row>
    <row r="282" spans="1:11" x14ac:dyDescent="0.25">
      <c r="A282" s="6">
        <v>46160</v>
      </c>
      <c r="B282" t="s">
        <v>553</v>
      </c>
      <c r="C282" t="s">
        <v>256</v>
      </c>
      <c r="D282" t="s">
        <v>26</v>
      </c>
      <c r="E282" t="s">
        <v>33</v>
      </c>
      <c r="F282" t="s">
        <v>34</v>
      </c>
      <c r="G282">
        <v>5</v>
      </c>
      <c r="H282">
        <v>868.81</v>
      </c>
      <c r="I282">
        <v>0</v>
      </c>
      <c r="J282" t="s">
        <v>98</v>
      </c>
      <c r="K282">
        <f>SalesTable[[#This Row],[Quantity]]*SalesTable[[#This Row],[Unit Price]]*(1-SalesTable[[#This Row],[Discount (%)]]/100)</f>
        <v>4344.0499999999993</v>
      </c>
    </row>
    <row r="283" spans="1:11" x14ac:dyDescent="0.25">
      <c r="A283" s="6">
        <v>46165</v>
      </c>
      <c r="B283" t="s">
        <v>555</v>
      </c>
      <c r="C283" t="s">
        <v>210</v>
      </c>
      <c r="D283" t="s">
        <v>41</v>
      </c>
      <c r="E283" t="s">
        <v>62</v>
      </c>
      <c r="F283" t="s">
        <v>79</v>
      </c>
      <c r="G283">
        <v>3</v>
      </c>
      <c r="H283">
        <v>342.28</v>
      </c>
      <c r="I283">
        <v>0</v>
      </c>
      <c r="J283" t="s">
        <v>108</v>
      </c>
      <c r="K283">
        <f>SalesTable[[#This Row],[Quantity]]*SalesTable[[#This Row],[Unit Price]]*(1-SalesTable[[#This Row],[Discount (%)]]/100)</f>
        <v>1026.8399999999999</v>
      </c>
    </row>
    <row r="284" spans="1:11" x14ac:dyDescent="0.25">
      <c r="A284" s="6">
        <v>46187</v>
      </c>
      <c r="B284" t="s">
        <v>556</v>
      </c>
      <c r="C284" t="s">
        <v>213</v>
      </c>
      <c r="D284" t="s">
        <v>26</v>
      </c>
      <c r="E284" t="s">
        <v>33</v>
      </c>
      <c r="F284" t="s">
        <v>34</v>
      </c>
      <c r="G284">
        <v>8</v>
      </c>
      <c r="H284">
        <v>1126.96</v>
      </c>
      <c r="I284">
        <v>10</v>
      </c>
      <c r="J284" t="s">
        <v>108</v>
      </c>
      <c r="K284">
        <f>SalesTable[[#This Row],[Quantity]]*SalesTable[[#This Row],[Unit Price]]*(1-SalesTable[[#This Row],[Discount (%)]]/100)</f>
        <v>8114.1120000000001</v>
      </c>
    </row>
    <row r="285" spans="1:11" x14ac:dyDescent="0.25">
      <c r="A285" s="6">
        <v>46208</v>
      </c>
      <c r="B285" t="s">
        <v>557</v>
      </c>
      <c r="C285" t="s">
        <v>201</v>
      </c>
      <c r="D285" t="s">
        <v>20</v>
      </c>
      <c r="E285" t="s">
        <v>33</v>
      </c>
      <c r="F285" t="s">
        <v>82</v>
      </c>
      <c r="G285">
        <v>2</v>
      </c>
      <c r="H285">
        <v>1014.36</v>
      </c>
      <c r="I285">
        <v>0</v>
      </c>
      <c r="J285" t="s">
        <v>108</v>
      </c>
      <c r="K285">
        <f>SalesTable[[#This Row],[Quantity]]*SalesTable[[#This Row],[Unit Price]]*(1-SalesTable[[#This Row],[Discount (%)]]/100)</f>
        <v>2028.72</v>
      </c>
    </row>
    <row r="286" spans="1:11" x14ac:dyDescent="0.25">
      <c r="A286" s="6">
        <v>46079</v>
      </c>
      <c r="B286" t="s">
        <v>558</v>
      </c>
      <c r="C286" t="s">
        <v>72</v>
      </c>
      <c r="D286" t="s">
        <v>26</v>
      </c>
      <c r="E286" t="s">
        <v>14</v>
      </c>
      <c r="F286" t="s">
        <v>76</v>
      </c>
      <c r="G286">
        <v>8</v>
      </c>
      <c r="H286">
        <v>148.46</v>
      </c>
      <c r="I286">
        <v>15</v>
      </c>
      <c r="J286" t="s">
        <v>16</v>
      </c>
      <c r="K286">
        <f>SalesTable[[#This Row],[Quantity]]*SalesTable[[#This Row],[Unit Price]]*(1-SalesTable[[#This Row],[Discount (%)]]/100)</f>
        <v>1009.528</v>
      </c>
    </row>
    <row r="287" spans="1:11" x14ac:dyDescent="0.25">
      <c r="A287" s="6">
        <v>46163</v>
      </c>
      <c r="B287" t="s">
        <v>559</v>
      </c>
      <c r="C287" t="s">
        <v>406</v>
      </c>
      <c r="D287" t="s">
        <v>26</v>
      </c>
      <c r="E287" t="s">
        <v>62</v>
      </c>
      <c r="F287" t="s">
        <v>73</v>
      </c>
      <c r="G287">
        <v>1</v>
      </c>
      <c r="H287">
        <v>500.98</v>
      </c>
      <c r="I287">
        <v>15</v>
      </c>
      <c r="J287" t="s">
        <v>98</v>
      </c>
      <c r="K287">
        <f>SalesTable[[#This Row],[Quantity]]*SalesTable[[#This Row],[Unit Price]]*(1-SalesTable[[#This Row],[Discount (%)]]/100)</f>
        <v>425.83300000000003</v>
      </c>
    </row>
    <row r="288" spans="1:11" x14ac:dyDescent="0.25">
      <c r="A288" s="6">
        <v>46048</v>
      </c>
      <c r="B288" t="s">
        <v>560</v>
      </c>
      <c r="C288" t="s">
        <v>422</v>
      </c>
      <c r="D288" t="s">
        <v>13</v>
      </c>
      <c r="E288" t="s">
        <v>33</v>
      </c>
      <c r="F288" t="s">
        <v>34</v>
      </c>
      <c r="G288">
        <v>4</v>
      </c>
      <c r="H288">
        <v>1057.52</v>
      </c>
      <c r="I288">
        <v>5</v>
      </c>
      <c r="J288" t="s">
        <v>22</v>
      </c>
      <c r="K288">
        <f>SalesTable[[#This Row],[Quantity]]*SalesTable[[#This Row],[Unit Price]]*(1-SalesTable[[#This Row],[Discount (%)]]/100)</f>
        <v>4018.5759999999996</v>
      </c>
    </row>
    <row r="289" spans="1:11" x14ac:dyDescent="0.25">
      <c r="A289" s="6">
        <v>46175</v>
      </c>
      <c r="B289" t="s">
        <v>561</v>
      </c>
      <c r="C289" t="s">
        <v>370</v>
      </c>
      <c r="D289" t="s">
        <v>41</v>
      </c>
      <c r="E289" t="s">
        <v>27</v>
      </c>
      <c r="F289" t="s">
        <v>42</v>
      </c>
      <c r="G289">
        <v>2</v>
      </c>
      <c r="H289">
        <v>889.37</v>
      </c>
      <c r="I289">
        <v>0</v>
      </c>
      <c r="J289" t="s">
        <v>29</v>
      </c>
      <c r="K289">
        <f>SalesTable[[#This Row],[Quantity]]*SalesTable[[#This Row],[Unit Price]]*(1-SalesTable[[#This Row],[Discount (%)]]/100)</f>
        <v>1778.74</v>
      </c>
    </row>
    <row r="290" spans="1:11" x14ac:dyDescent="0.25">
      <c r="A290" s="6">
        <v>46201</v>
      </c>
      <c r="B290" t="s">
        <v>562</v>
      </c>
      <c r="C290" t="s">
        <v>229</v>
      </c>
      <c r="D290" t="s">
        <v>20</v>
      </c>
      <c r="E290" t="s">
        <v>62</v>
      </c>
      <c r="F290" t="s">
        <v>79</v>
      </c>
      <c r="G290">
        <v>4</v>
      </c>
      <c r="H290">
        <v>984.2</v>
      </c>
      <c r="I290">
        <v>0</v>
      </c>
      <c r="J290" t="s">
        <v>47</v>
      </c>
      <c r="K290">
        <f>SalesTable[[#This Row],[Quantity]]*SalesTable[[#This Row],[Unit Price]]*(1-SalesTable[[#This Row],[Discount (%)]]/100)</f>
        <v>3936.8</v>
      </c>
    </row>
    <row r="291" spans="1:11" x14ac:dyDescent="0.25">
      <c r="A291" s="6">
        <v>46051</v>
      </c>
      <c r="B291" t="s">
        <v>563</v>
      </c>
      <c r="C291" t="s">
        <v>91</v>
      </c>
      <c r="D291" t="s">
        <v>41</v>
      </c>
      <c r="E291" t="s">
        <v>14</v>
      </c>
      <c r="F291" t="s">
        <v>76</v>
      </c>
      <c r="G291">
        <v>4</v>
      </c>
      <c r="H291">
        <v>462.54</v>
      </c>
      <c r="I291">
        <v>0</v>
      </c>
      <c r="J291" t="s">
        <v>98</v>
      </c>
      <c r="K291">
        <f>SalesTable[[#This Row],[Quantity]]*SalesTable[[#This Row],[Unit Price]]*(1-SalesTable[[#This Row],[Discount (%)]]/100)</f>
        <v>1850.16</v>
      </c>
    </row>
    <row r="292" spans="1:11" x14ac:dyDescent="0.25">
      <c r="A292" s="6">
        <v>46205</v>
      </c>
      <c r="B292" t="s">
        <v>564</v>
      </c>
      <c r="C292" t="s">
        <v>346</v>
      </c>
      <c r="D292" t="s">
        <v>13</v>
      </c>
      <c r="E292" t="s">
        <v>27</v>
      </c>
      <c r="F292" t="s">
        <v>42</v>
      </c>
      <c r="G292">
        <v>3</v>
      </c>
      <c r="H292">
        <v>1080.1500000000001</v>
      </c>
      <c r="I292">
        <v>0</v>
      </c>
      <c r="J292" t="s">
        <v>98</v>
      </c>
      <c r="K292">
        <f>SalesTable[[#This Row],[Quantity]]*SalesTable[[#This Row],[Unit Price]]*(1-SalesTable[[#This Row],[Discount (%)]]/100)</f>
        <v>3240.4500000000003</v>
      </c>
    </row>
    <row r="293" spans="1:11" x14ac:dyDescent="0.25">
      <c r="A293" s="6">
        <v>46225</v>
      </c>
      <c r="B293" t="s">
        <v>566</v>
      </c>
      <c r="C293" t="s">
        <v>254</v>
      </c>
      <c r="D293" t="s">
        <v>13</v>
      </c>
      <c r="E293" t="s">
        <v>14</v>
      </c>
      <c r="F293" t="s">
        <v>76</v>
      </c>
      <c r="G293">
        <v>2</v>
      </c>
      <c r="H293">
        <v>237.73</v>
      </c>
      <c r="I293">
        <v>5</v>
      </c>
      <c r="J293" t="s">
        <v>108</v>
      </c>
      <c r="K293">
        <f>SalesTable[[#This Row],[Quantity]]*SalesTable[[#This Row],[Unit Price]]*(1-SalesTable[[#This Row],[Discount (%)]]/100)</f>
        <v>451.68699999999995</v>
      </c>
    </row>
    <row r="294" spans="1:11" x14ac:dyDescent="0.25">
      <c r="A294" s="6">
        <v>46088</v>
      </c>
      <c r="B294" t="s">
        <v>567</v>
      </c>
      <c r="C294" t="s">
        <v>307</v>
      </c>
      <c r="D294" t="s">
        <v>41</v>
      </c>
      <c r="E294" t="s">
        <v>33</v>
      </c>
      <c r="F294" t="s">
        <v>82</v>
      </c>
      <c r="G294">
        <v>3</v>
      </c>
      <c r="H294">
        <v>1199.42</v>
      </c>
      <c r="I294">
        <v>10</v>
      </c>
      <c r="J294" t="s">
        <v>22</v>
      </c>
      <c r="K294">
        <f>SalesTable[[#This Row],[Quantity]]*SalesTable[[#This Row],[Unit Price]]*(1-SalesTable[[#This Row],[Discount (%)]]/100)</f>
        <v>3238.4340000000002</v>
      </c>
    </row>
    <row r="295" spans="1:11" x14ac:dyDescent="0.25">
      <c r="A295" s="6">
        <v>46192</v>
      </c>
      <c r="B295" t="s">
        <v>568</v>
      </c>
      <c r="C295" t="s">
        <v>145</v>
      </c>
      <c r="D295" t="s">
        <v>20</v>
      </c>
      <c r="E295" t="s">
        <v>62</v>
      </c>
      <c r="F295" t="s">
        <v>92</v>
      </c>
      <c r="G295">
        <v>6</v>
      </c>
      <c r="H295">
        <v>681.46</v>
      </c>
      <c r="I295">
        <v>0</v>
      </c>
      <c r="J295" t="s">
        <v>16</v>
      </c>
      <c r="K295">
        <f>SalesTable[[#This Row],[Quantity]]*SalesTable[[#This Row],[Unit Price]]*(1-SalesTable[[#This Row],[Discount (%)]]/100)</f>
        <v>4088.76</v>
      </c>
    </row>
    <row r="296" spans="1:11" x14ac:dyDescent="0.25">
      <c r="A296" s="6">
        <v>46047</v>
      </c>
      <c r="B296" t="s">
        <v>569</v>
      </c>
      <c r="C296" t="s">
        <v>333</v>
      </c>
      <c r="D296" t="s">
        <v>13</v>
      </c>
      <c r="E296" t="s">
        <v>62</v>
      </c>
      <c r="F296" t="s">
        <v>92</v>
      </c>
      <c r="G296">
        <v>6</v>
      </c>
      <c r="H296">
        <v>614.08000000000004</v>
      </c>
      <c r="I296">
        <v>15</v>
      </c>
      <c r="J296" t="s">
        <v>98</v>
      </c>
      <c r="K296">
        <f>SalesTable[[#This Row],[Quantity]]*SalesTable[[#This Row],[Unit Price]]*(1-SalesTable[[#This Row],[Discount (%)]]/100)</f>
        <v>3131.8080000000004</v>
      </c>
    </row>
    <row r="297" spans="1:11" x14ac:dyDescent="0.25">
      <c r="A297" s="6">
        <v>46224</v>
      </c>
      <c r="B297" t="s">
        <v>570</v>
      </c>
      <c r="C297" t="s">
        <v>428</v>
      </c>
      <c r="D297" t="s">
        <v>41</v>
      </c>
      <c r="E297" t="s">
        <v>62</v>
      </c>
      <c r="F297" t="s">
        <v>63</v>
      </c>
      <c r="G297">
        <v>1</v>
      </c>
      <c r="H297">
        <v>797.54</v>
      </c>
      <c r="I297">
        <v>15</v>
      </c>
      <c r="J297" t="s">
        <v>29</v>
      </c>
      <c r="K297">
        <f>SalesTable[[#This Row],[Quantity]]*SalesTable[[#This Row],[Unit Price]]*(1-SalesTable[[#This Row],[Discount (%)]]/100)</f>
        <v>677.90899999999999</v>
      </c>
    </row>
    <row r="298" spans="1:11" x14ac:dyDescent="0.25">
      <c r="A298" s="6">
        <v>46221</v>
      </c>
      <c r="B298" t="s">
        <v>571</v>
      </c>
      <c r="C298" t="s">
        <v>572</v>
      </c>
      <c r="D298" t="s">
        <v>26</v>
      </c>
      <c r="E298" t="s">
        <v>27</v>
      </c>
      <c r="F298" t="s">
        <v>42</v>
      </c>
      <c r="G298">
        <v>9</v>
      </c>
      <c r="H298">
        <v>457.15</v>
      </c>
      <c r="I298">
        <v>0</v>
      </c>
      <c r="J298" t="s">
        <v>47</v>
      </c>
      <c r="K298">
        <f>SalesTable[[#This Row],[Quantity]]*SalesTable[[#This Row],[Unit Price]]*(1-SalesTable[[#This Row],[Discount (%)]]/100)</f>
        <v>4114.3499999999995</v>
      </c>
    </row>
    <row r="299" spans="1:11" x14ac:dyDescent="0.25">
      <c r="A299" s="6">
        <v>46108</v>
      </c>
      <c r="B299" t="s">
        <v>573</v>
      </c>
      <c r="C299" t="s">
        <v>158</v>
      </c>
      <c r="D299" t="s">
        <v>20</v>
      </c>
      <c r="E299" t="s">
        <v>33</v>
      </c>
      <c r="F299" t="s">
        <v>34</v>
      </c>
      <c r="G299">
        <v>3</v>
      </c>
      <c r="H299">
        <v>321.02</v>
      </c>
      <c r="I299">
        <v>15</v>
      </c>
      <c r="J299" t="s">
        <v>108</v>
      </c>
      <c r="K299">
        <f>SalesTable[[#This Row],[Quantity]]*SalesTable[[#This Row],[Unit Price]]*(1-SalesTable[[#This Row],[Discount (%)]]/100)</f>
        <v>818.60099999999989</v>
      </c>
    </row>
    <row r="300" spans="1:11" x14ac:dyDescent="0.25">
      <c r="A300" s="6">
        <v>46171</v>
      </c>
      <c r="B300" t="s">
        <v>574</v>
      </c>
      <c r="C300" t="s">
        <v>32</v>
      </c>
      <c r="D300" t="s">
        <v>13</v>
      </c>
      <c r="E300" t="s">
        <v>14</v>
      </c>
      <c r="F300" t="s">
        <v>21</v>
      </c>
      <c r="G300">
        <v>6</v>
      </c>
      <c r="H300">
        <v>435.39</v>
      </c>
      <c r="I300">
        <v>5</v>
      </c>
      <c r="J300" t="s">
        <v>29</v>
      </c>
      <c r="K300">
        <f>SalesTable[[#This Row],[Quantity]]*SalesTable[[#This Row],[Unit Price]]*(1-SalesTable[[#This Row],[Discount (%)]]/100)</f>
        <v>2481.723</v>
      </c>
    </row>
    <row r="301" spans="1:11" x14ac:dyDescent="0.25">
      <c r="A301" s="6">
        <v>46207</v>
      </c>
      <c r="B301" t="s">
        <v>576</v>
      </c>
      <c r="C301" t="s">
        <v>75</v>
      </c>
      <c r="D301" t="s">
        <v>13</v>
      </c>
      <c r="E301" t="s">
        <v>27</v>
      </c>
      <c r="F301" t="s">
        <v>42</v>
      </c>
      <c r="G301">
        <v>6</v>
      </c>
      <c r="H301">
        <v>409.85</v>
      </c>
      <c r="I301">
        <v>0</v>
      </c>
      <c r="J301" t="s">
        <v>47</v>
      </c>
      <c r="K301">
        <f>SalesTable[[#This Row],[Quantity]]*SalesTable[[#This Row],[Unit Price]]*(1-SalesTable[[#This Row],[Discount (%)]]/100)</f>
        <v>2459.1000000000004</v>
      </c>
    </row>
    <row r="302" spans="1:11" x14ac:dyDescent="0.25">
      <c r="A302" s="6">
        <v>46182</v>
      </c>
      <c r="B302" t="s">
        <v>577</v>
      </c>
      <c r="C302" t="s">
        <v>476</v>
      </c>
      <c r="D302" t="s">
        <v>13</v>
      </c>
      <c r="E302" t="s">
        <v>33</v>
      </c>
      <c r="F302" t="s">
        <v>46</v>
      </c>
      <c r="G302">
        <v>8</v>
      </c>
      <c r="H302">
        <v>1177.18</v>
      </c>
      <c r="I302">
        <v>0</v>
      </c>
      <c r="J302" t="s">
        <v>16</v>
      </c>
      <c r="K302">
        <f>SalesTable[[#This Row],[Quantity]]*SalesTable[[#This Row],[Unit Price]]*(1-SalesTable[[#This Row],[Discount (%)]]/100)</f>
        <v>9417.44</v>
      </c>
    </row>
    <row r="303" spans="1:11" x14ac:dyDescent="0.25">
      <c r="A303" s="6">
        <v>46112</v>
      </c>
      <c r="B303" t="s">
        <v>578</v>
      </c>
      <c r="C303" t="s">
        <v>503</v>
      </c>
      <c r="D303" t="s">
        <v>26</v>
      </c>
      <c r="E303" t="s">
        <v>62</v>
      </c>
      <c r="F303" t="s">
        <v>79</v>
      </c>
      <c r="G303">
        <v>2</v>
      </c>
      <c r="H303">
        <v>685.19</v>
      </c>
      <c r="I303">
        <v>0</v>
      </c>
      <c r="J303" t="s">
        <v>29</v>
      </c>
      <c r="K303">
        <f>SalesTable[[#This Row],[Quantity]]*SalesTable[[#This Row],[Unit Price]]*(1-SalesTable[[#This Row],[Discount (%)]]/100)</f>
        <v>1370.38</v>
      </c>
    </row>
    <row r="304" spans="1:11" x14ac:dyDescent="0.25">
      <c r="A304" s="6">
        <v>46217</v>
      </c>
      <c r="B304" t="s">
        <v>579</v>
      </c>
      <c r="C304" t="s">
        <v>397</v>
      </c>
      <c r="D304" t="s">
        <v>13</v>
      </c>
      <c r="E304" t="s">
        <v>62</v>
      </c>
      <c r="F304" t="s">
        <v>63</v>
      </c>
      <c r="G304">
        <v>10</v>
      </c>
      <c r="H304">
        <v>345.55</v>
      </c>
      <c r="I304">
        <v>10</v>
      </c>
      <c r="J304" t="s">
        <v>16</v>
      </c>
      <c r="K304">
        <f>SalesTable[[#This Row],[Quantity]]*SalesTable[[#This Row],[Unit Price]]*(1-SalesTable[[#This Row],[Discount (%)]]/100)</f>
        <v>3109.9500000000003</v>
      </c>
    </row>
    <row r="305" spans="1:11" x14ac:dyDescent="0.25">
      <c r="A305" s="6">
        <v>46167</v>
      </c>
      <c r="B305" t="s">
        <v>580</v>
      </c>
      <c r="C305" t="s">
        <v>239</v>
      </c>
      <c r="D305" t="s">
        <v>26</v>
      </c>
      <c r="E305" t="s">
        <v>14</v>
      </c>
      <c r="F305" t="s">
        <v>15</v>
      </c>
      <c r="G305">
        <v>9</v>
      </c>
      <c r="H305">
        <v>654.29</v>
      </c>
      <c r="I305">
        <v>5</v>
      </c>
      <c r="J305" t="s">
        <v>22</v>
      </c>
      <c r="K305">
        <f>SalesTable[[#This Row],[Quantity]]*SalesTable[[#This Row],[Unit Price]]*(1-SalesTable[[#This Row],[Discount (%)]]/100)</f>
        <v>5594.1794999999993</v>
      </c>
    </row>
    <row r="306" spans="1:11" x14ac:dyDescent="0.25">
      <c r="A306" s="6">
        <v>46142</v>
      </c>
      <c r="B306" t="s">
        <v>581</v>
      </c>
      <c r="C306" t="s">
        <v>186</v>
      </c>
      <c r="D306" t="s">
        <v>20</v>
      </c>
      <c r="E306" t="s">
        <v>62</v>
      </c>
      <c r="F306" t="s">
        <v>79</v>
      </c>
      <c r="G306">
        <v>2</v>
      </c>
      <c r="H306">
        <v>569.27</v>
      </c>
      <c r="I306">
        <v>15</v>
      </c>
      <c r="J306" t="s">
        <v>29</v>
      </c>
      <c r="K306">
        <f>SalesTable[[#This Row],[Quantity]]*SalesTable[[#This Row],[Unit Price]]*(1-SalesTable[[#This Row],[Discount (%)]]/100)</f>
        <v>967.7589999999999</v>
      </c>
    </row>
    <row r="307" spans="1:11" x14ac:dyDescent="0.25">
      <c r="A307" s="6">
        <v>46147</v>
      </c>
      <c r="B307" t="s">
        <v>583</v>
      </c>
      <c r="C307" t="s">
        <v>72</v>
      </c>
      <c r="D307" t="s">
        <v>41</v>
      </c>
      <c r="E307" t="s">
        <v>33</v>
      </c>
      <c r="F307" t="s">
        <v>46</v>
      </c>
      <c r="G307">
        <v>4</v>
      </c>
      <c r="H307">
        <v>741.89</v>
      </c>
      <c r="I307">
        <v>5</v>
      </c>
      <c r="J307" t="s">
        <v>108</v>
      </c>
      <c r="K307">
        <f>SalesTable[[#This Row],[Quantity]]*SalesTable[[#This Row],[Unit Price]]*(1-SalesTable[[#This Row],[Discount (%)]]/100)</f>
        <v>2819.1819999999998</v>
      </c>
    </row>
    <row r="308" spans="1:11" x14ac:dyDescent="0.25">
      <c r="A308" s="6">
        <v>46169</v>
      </c>
      <c r="B308" t="s">
        <v>585</v>
      </c>
      <c r="C308" t="s">
        <v>124</v>
      </c>
      <c r="D308" t="s">
        <v>26</v>
      </c>
      <c r="E308" t="s">
        <v>27</v>
      </c>
      <c r="F308" t="s">
        <v>28</v>
      </c>
      <c r="G308">
        <v>10</v>
      </c>
      <c r="H308">
        <v>136.41999999999999</v>
      </c>
      <c r="I308">
        <v>10</v>
      </c>
      <c r="J308" t="s">
        <v>16</v>
      </c>
      <c r="K308">
        <f>SalesTable[[#This Row],[Quantity]]*SalesTable[[#This Row],[Unit Price]]*(1-SalesTable[[#This Row],[Discount (%)]]/100)</f>
        <v>1227.78</v>
      </c>
    </row>
    <row r="309" spans="1:11" x14ac:dyDescent="0.25">
      <c r="A309" s="6">
        <v>46050</v>
      </c>
      <c r="B309" t="s">
        <v>586</v>
      </c>
      <c r="C309" t="s">
        <v>476</v>
      </c>
      <c r="D309" t="s">
        <v>13</v>
      </c>
      <c r="E309" t="s">
        <v>14</v>
      </c>
      <c r="F309" t="s">
        <v>15</v>
      </c>
      <c r="G309">
        <v>7</v>
      </c>
      <c r="H309">
        <v>1156.69</v>
      </c>
      <c r="I309">
        <v>0</v>
      </c>
      <c r="J309" t="s">
        <v>16</v>
      </c>
      <c r="K309">
        <f>SalesTable[[#This Row],[Quantity]]*SalesTable[[#This Row],[Unit Price]]*(1-SalesTable[[#This Row],[Discount (%)]]/100)</f>
        <v>8096.83</v>
      </c>
    </row>
    <row r="310" spans="1:11" x14ac:dyDescent="0.25">
      <c r="A310" s="6">
        <v>46030</v>
      </c>
      <c r="B310" t="s">
        <v>587</v>
      </c>
      <c r="C310" t="s">
        <v>132</v>
      </c>
      <c r="D310" t="s">
        <v>41</v>
      </c>
      <c r="E310" t="s">
        <v>14</v>
      </c>
      <c r="F310" t="s">
        <v>21</v>
      </c>
      <c r="G310">
        <v>3</v>
      </c>
      <c r="H310">
        <v>650.9</v>
      </c>
      <c r="I310">
        <v>10</v>
      </c>
      <c r="J310" t="s">
        <v>22</v>
      </c>
      <c r="K310">
        <f>SalesTable[[#This Row],[Quantity]]*SalesTable[[#This Row],[Unit Price]]*(1-SalesTable[[#This Row],[Discount (%)]]/100)</f>
        <v>1757.4299999999998</v>
      </c>
    </row>
    <row r="311" spans="1:11" x14ac:dyDescent="0.25">
      <c r="A311" s="6">
        <v>46050</v>
      </c>
      <c r="B311" t="s">
        <v>588</v>
      </c>
      <c r="C311" t="s">
        <v>254</v>
      </c>
      <c r="D311" t="s">
        <v>26</v>
      </c>
      <c r="E311" t="s">
        <v>33</v>
      </c>
      <c r="F311" t="s">
        <v>82</v>
      </c>
      <c r="G311">
        <v>5</v>
      </c>
      <c r="H311">
        <v>449.86</v>
      </c>
      <c r="I311">
        <v>0</v>
      </c>
      <c r="J311" t="s">
        <v>29</v>
      </c>
      <c r="K311">
        <f>SalesTable[[#This Row],[Quantity]]*SalesTable[[#This Row],[Unit Price]]*(1-SalesTable[[#This Row],[Discount (%)]]/100)</f>
        <v>2249.3000000000002</v>
      </c>
    </row>
    <row r="312" spans="1:11" x14ac:dyDescent="0.25">
      <c r="A312" s="6">
        <v>46077</v>
      </c>
      <c r="B312" t="s">
        <v>589</v>
      </c>
      <c r="C312" t="s">
        <v>275</v>
      </c>
      <c r="D312" t="s">
        <v>20</v>
      </c>
      <c r="E312" t="s">
        <v>14</v>
      </c>
      <c r="F312" t="s">
        <v>15</v>
      </c>
      <c r="G312">
        <v>10</v>
      </c>
      <c r="H312">
        <v>419.22</v>
      </c>
      <c r="I312">
        <v>0</v>
      </c>
      <c r="J312" t="s">
        <v>16</v>
      </c>
      <c r="K312">
        <f>SalesTable[[#This Row],[Quantity]]*SalesTable[[#This Row],[Unit Price]]*(1-SalesTable[[#This Row],[Discount (%)]]/100)</f>
        <v>4192.2000000000007</v>
      </c>
    </row>
    <row r="313" spans="1:11" x14ac:dyDescent="0.25">
      <c r="A313" s="6">
        <v>46147</v>
      </c>
      <c r="B313" t="s">
        <v>590</v>
      </c>
      <c r="C313" t="s">
        <v>61</v>
      </c>
      <c r="D313" t="s">
        <v>13</v>
      </c>
      <c r="E313" t="s">
        <v>33</v>
      </c>
      <c r="F313" t="s">
        <v>46</v>
      </c>
      <c r="G313">
        <v>3</v>
      </c>
      <c r="H313">
        <v>575.66999999999996</v>
      </c>
      <c r="I313">
        <v>5</v>
      </c>
      <c r="J313" t="s">
        <v>16</v>
      </c>
      <c r="K313">
        <f>SalesTable[[#This Row],[Quantity]]*SalesTable[[#This Row],[Unit Price]]*(1-SalesTable[[#This Row],[Discount (%)]]/100)</f>
        <v>1640.6594999999998</v>
      </c>
    </row>
    <row r="314" spans="1:11" x14ac:dyDescent="0.25">
      <c r="A314" s="6">
        <v>46207</v>
      </c>
      <c r="B314" t="s">
        <v>591</v>
      </c>
      <c r="C314" t="s">
        <v>101</v>
      </c>
      <c r="D314" t="s">
        <v>41</v>
      </c>
      <c r="E314" t="s">
        <v>27</v>
      </c>
      <c r="F314" t="s">
        <v>28</v>
      </c>
      <c r="G314">
        <v>3</v>
      </c>
      <c r="H314">
        <v>882.39</v>
      </c>
      <c r="I314">
        <v>10</v>
      </c>
      <c r="J314" t="s">
        <v>29</v>
      </c>
      <c r="K314">
        <f>SalesTable[[#This Row],[Quantity]]*SalesTable[[#This Row],[Unit Price]]*(1-SalesTable[[#This Row],[Discount (%)]]/100)</f>
        <v>2382.453</v>
      </c>
    </row>
    <row r="315" spans="1:11" x14ac:dyDescent="0.25">
      <c r="A315" s="6">
        <v>46186</v>
      </c>
      <c r="B315" t="s">
        <v>592</v>
      </c>
      <c r="C315" t="s">
        <v>251</v>
      </c>
      <c r="D315" t="s">
        <v>13</v>
      </c>
      <c r="E315" t="s">
        <v>62</v>
      </c>
      <c r="F315" t="s">
        <v>79</v>
      </c>
      <c r="G315">
        <v>4</v>
      </c>
      <c r="H315">
        <v>308.89</v>
      </c>
      <c r="I315">
        <v>5</v>
      </c>
      <c r="J315" t="s">
        <v>29</v>
      </c>
      <c r="K315">
        <f>SalesTable[[#This Row],[Quantity]]*SalesTable[[#This Row],[Unit Price]]*(1-SalesTable[[#This Row],[Discount (%)]]/100)</f>
        <v>1173.7819999999999</v>
      </c>
    </row>
    <row r="316" spans="1:11" x14ac:dyDescent="0.25">
      <c r="A316" s="6">
        <v>46139</v>
      </c>
      <c r="B316" t="s">
        <v>593</v>
      </c>
      <c r="C316" t="s">
        <v>314</v>
      </c>
      <c r="D316" t="s">
        <v>26</v>
      </c>
      <c r="E316" t="s">
        <v>33</v>
      </c>
      <c r="F316" t="s">
        <v>82</v>
      </c>
      <c r="G316">
        <v>3</v>
      </c>
      <c r="H316">
        <v>936.51</v>
      </c>
      <c r="I316">
        <v>5</v>
      </c>
      <c r="J316" t="s">
        <v>108</v>
      </c>
      <c r="K316">
        <f>SalesTable[[#This Row],[Quantity]]*SalesTable[[#This Row],[Unit Price]]*(1-SalesTable[[#This Row],[Discount (%)]]/100)</f>
        <v>2669.0534999999995</v>
      </c>
    </row>
    <row r="317" spans="1:11" x14ac:dyDescent="0.25">
      <c r="A317" s="6">
        <v>46027</v>
      </c>
      <c r="B317" t="s">
        <v>595</v>
      </c>
      <c r="C317" t="s">
        <v>69</v>
      </c>
      <c r="D317" t="s">
        <v>13</v>
      </c>
      <c r="E317" t="s">
        <v>27</v>
      </c>
      <c r="F317" t="s">
        <v>51</v>
      </c>
      <c r="G317">
        <v>7</v>
      </c>
      <c r="H317">
        <v>86.83</v>
      </c>
      <c r="I317">
        <v>15</v>
      </c>
      <c r="J317" t="s">
        <v>22</v>
      </c>
      <c r="K317">
        <f>SalesTable[[#This Row],[Quantity]]*SalesTable[[#This Row],[Unit Price]]*(1-SalesTable[[#This Row],[Discount (%)]]/100)</f>
        <v>516.63849999999991</v>
      </c>
    </row>
    <row r="318" spans="1:11" x14ac:dyDescent="0.25">
      <c r="A318" s="6">
        <v>46030</v>
      </c>
      <c r="B318" t="s">
        <v>596</v>
      </c>
      <c r="C318" t="s">
        <v>422</v>
      </c>
      <c r="D318" t="s">
        <v>26</v>
      </c>
      <c r="E318" t="s">
        <v>33</v>
      </c>
      <c r="F318" t="s">
        <v>34</v>
      </c>
      <c r="G318">
        <v>9</v>
      </c>
      <c r="H318">
        <v>547.99</v>
      </c>
      <c r="I318">
        <v>10</v>
      </c>
      <c r="J318" t="s">
        <v>29</v>
      </c>
      <c r="K318">
        <f>SalesTable[[#This Row],[Quantity]]*SalesTable[[#This Row],[Unit Price]]*(1-SalesTable[[#This Row],[Discount (%)]]/100)</f>
        <v>4438.7190000000001</v>
      </c>
    </row>
    <row r="319" spans="1:11" x14ac:dyDescent="0.25">
      <c r="A319" s="6">
        <v>46141</v>
      </c>
      <c r="B319" t="s">
        <v>597</v>
      </c>
      <c r="C319" t="s">
        <v>406</v>
      </c>
      <c r="D319" t="s">
        <v>20</v>
      </c>
      <c r="E319" t="s">
        <v>33</v>
      </c>
      <c r="F319" t="s">
        <v>46</v>
      </c>
      <c r="G319">
        <v>8</v>
      </c>
      <c r="H319">
        <v>1079.3599999999999</v>
      </c>
      <c r="I319">
        <v>5</v>
      </c>
      <c r="J319" t="s">
        <v>98</v>
      </c>
      <c r="K319">
        <f>SalesTable[[#This Row],[Quantity]]*SalesTable[[#This Row],[Unit Price]]*(1-SalesTable[[#This Row],[Discount (%)]]/100)</f>
        <v>8203.1359999999986</v>
      </c>
    </row>
    <row r="320" spans="1:11" x14ac:dyDescent="0.25">
      <c r="A320" s="6">
        <v>46074</v>
      </c>
      <c r="B320" t="s">
        <v>599</v>
      </c>
      <c r="C320" t="s">
        <v>19</v>
      </c>
      <c r="D320" t="s">
        <v>20</v>
      </c>
      <c r="E320" t="s">
        <v>62</v>
      </c>
      <c r="F320" t="s">
        <v>73</v>
      </c>
      <c r="G320">
        <v>8</v>
      </c>
      <c r="H320">
        <v>152.5</v>
      </c>
      <c r="I320">
        <v>0</v>
      </c>
      <c r="J320" t="s">
        <v>16</v>
      </c>
      <c r="K320">
        <f>SalesTable[[#This Row],[Quantity]]*SalesTable[[#This Row],[Unit Price]]*(1-SalesTable[[#This Row],[Discount (%)]]/100)</f>
        <v>1220</v>
      </c>
    </row>
    <row r="321" spans="1:11" x14ac:dyDescent="0.25">
      <c r="A321" s="6">
        <v>46051</v>
      </c>
      <c r="B321" t="s">
        <v>600</v>
      </c>
      <c r="C321" t="s">
        <v>186</v>
      </c>
      <c r="D321" t="s">
        <v>26</v>
      </c>
      <c r="E321" t="s">
        <v>62</v>
      </c>
      <c r="F321" t="s">
        <v>63</v>
      </c>
      <c r="G321">
        <v>2</v>
      </c>
      <c r="H321">
        <v>36.79</v>
      </c>
      <c r="I321">
        <v>10</v>
      </c>
      <c r="J321" t="s">
        <v>16</v>
      </c>
      <c r="K321">
        <f>SalesTable[[#This Row],[Quantity]]*SalesTable[[#This Row],[Unit Price]]*(1-SalesTable[[#This Row],[Discount (%)]]/100)</f>
        <v>66.221999999999994</v>
      </c>
    </row>
    <row r="322" spans="1:11" x14ac:dyDescent="0.25">
      <c r="A322" s="6">
        <v>46225</v>
      </c>
      <c r="B322" t="s">
        <v>601</v>
      </c>
      <c r="C322" t="s">
        <v>422</v>
      </c>
      <c r="D322" t="s">
        <v>26</v>
      </c>
      <c r="E322" t="s">
        <v>33</v>
      </c>
      <c r="F322" t="s">
        <v>82</v>
      </c>
      <c r="G322">
        <v>4</v>
      </c>
      <c r="H322">
        <v>114.72</v>
      </c>
      <c r="I322">
        <v>15</v>
      </c>
      <c r="J322" t="s">
        <v>98</v>
      </c>
      <c r="K322">
        <f>SalesTable[[#This Row],[Quantity]]*SalesTable[[#This Row],[Unit Price]]*(1-SalesTable[[#This Row],[Discount (%)]]/100)</f>
        <v>390.048</v>
      </c>
    </row>
    <row r="323" spans="1:11" x14ac:dyDescent="0.25">
      <c r="A323" s="6">
        <v>46206</v>
      </c>
      <c r="B323" t="s">
        <v>602</v>
      </c>
      <c r="C323" t="s">
        <v>170</v>
      </c>
      <c r="D323" t="s">
        <v>26</v>
      </c>
      <c r="E323" t="s">
        <v>33</v>
      </c>
      <c r="F323" t="s">
        <v>34</v>
      </c>
      <c r="G323">
        <v>3</v>
      </c>
      <c r="H323">
        <v>610.01</v>
      </c>
      <c r="I323">
        <v>5</v>
      </c>
      <c r="J323" t="s">
        <v>108</v>
      </c>
      <c r="K323">
        <f>SalesTable[[#This Row],[Quantity]]*SalesTable[[#This Row],[Unit Price]]*(1-SalesTable[[#This Row],[Discount (%)]]/100)</f>
        <v>1738.5284999999999</v>
      </c>
    </row>
    <row r="324" spans="1:11" x14ac:dyDescent="0.25">
      <c r="A324" s="6">
        <v>46049</v>
      </c>
      <c r="B324" t="s">
        <v>603</v>
      </c>
      <c r="C324" t="s">
        <v>265</v>
      </c>
      <c r="D324" t="s">
        <v>41</v>
      </c>
      <c r="E324" t="s">
        <v>62</v>
      </c>
      <c r="F324" t="s">
        <v>73</v>
      </c>
      <c r="G324">
        <v>5</v>
      </c>
      <c r="H324">
        <v>381.65</v>
      </c>
      <c r="I324">
        <v>15</v>
      </c>
      <c r="J324" t="s">
        <v>16</v>
      </c>
      <c r="K324">
        <f>SalesTable[[#This Row],[Quantity]]*SalesTable[[#This Row],[Unit Price]]*(1-SalesTable[[#This Row],[Discount (%)]]/100)</f>
        <v>1622.0125</v>
      </c>
    </row>
    <row r="325" spans="1:11" x14ac:dyDescent="0.25">
      <c r="A325" s="6">
        <v>46080</v>
      </c>
      <c r="B325" t="s">
        <v>605</v>
      </c>
      <c r="C325" t="s">
        <v>88</v>
      </c>
      <c r="D325" t="s">
        <v>13</v>
      </c>
      <c r="E325" t="s">
        <v>27</v>
      </c>
      <c r="F325" t="s">
        <v>51</v>
      </c>
      <c r="G325">
        <v>9</v>
      </c>
      <c r="H325">
        <v>961.56</v>
      </c>
      <c r="I325">
        <v>15</v>
      </c>
      <c r="J325" t="s">
        <v>22</v>
      </c>
      <c r="K325">
        <f>SalesTable[[#This Row],[Quantity]]*SalesTable[[#This Row],[Unit Price]]*(1-SalesTable[[#This Row],[Discount (%)]]/100)</f>
        <v>7355.9339999999993</v>
      </c>
    </row>
    <row r="326" spans="1:11" x14ac:dyDescent="0.25">
      <c r="A326" s="6">
        <v>46208</v>
      </c>
      <c r="B326" t="s">
        <v>606</v>
      </c>
      <c r="C326" t="s">
        <v>275</v>
      </c>
      <c r="D326" t="s">
        <v>26</v>
      </c>
      <c r="E326" t="s">
        <v>33</v>
      </c>
      <c r="F326" t="s">
        <v>82</v>
      </c>
      <c r="G326">
        <v>6</v>
      </c>
      <c r="H326">
        <v>406.69</v>
      </c>
      <c r="I326">
        <v>10</v>
      </c>
      <c r="J326" t="s">
        <v>22</v>
      </c>
      <c r="K326">
        <f>SalesTable[[#This Row],[Quantity]]*SalesTable[[#This Row],[Unit Price]]*(1-SalesTable[[#This Row],[Discount (%)]]/100)</f>
        <v>2196.1259999999997</v>
      </c>
    </row>
    <row r="327" spans="1:11" x14ac:dyDescent="0.25">
      <c r="A327" s="6">
        <v>46062</v>
      </c>
      <c r="B327" t="s">
        <v>608</v>
      </c>
      <c r="C327" t="s">
        <v>422</v>
      </c>
      <c r="D327" t="s">
        <v>13</v>
      </c>
      <c r="E327" t="s">
        <v>33</v>
      </c>
      <c r="F327" t="s">
        <v>46</v>
      </c>
      <c r="G327">
        <v>8</v>
      </c>
      <c r="H327">
        <v>623.41</v>
      </c>
      <c r="I327">
        <v>0</v>
      </c>
      <c r="J327" t="s">
        <v>108</v>
      </c>
      <c r="K327">
        <f>SalesTable[[#This Row],[Quantity]]*SalesTable[[#This Row],[Unit Price]]*(1-SalesTable[[#This Row],[Discount (%)]]/100)</f>
        <v>4987.28</v>
      </c>
    </row>
    <row r="328" spans="1:11" x14ac:dyDescent="0.25">
      <c r="A328" s="6">
        <v>46232</v>
      </c>
      <c r="B328" t="s">
        <v>609</v>
      </c>
      <c r="C328" t="s">
        <v>279</v>
      </c>
      <c r="D328" t="s">
        <v>13</v>
      </c>
      <c r="E328" t="s">
        <v>14</v>
      </c>
      <c r="F328" t="s">
        <v>76</v>
      </c>
      <c r="G328">
        <v>8</v>
      </c>
      <c r="H328">
        <v>170.87</v>
      </c>
      <c r="I328">
        <v>5</v>
      </c>
      <c r="J328" t="s">
        <v>98</v>
      </c>
      <c r="K328">
        <f>SalesTable[[#This Row],[Quantity]]*SalesTable[[#This Row],[Unit Price]]*(1-SalesTable[[#This Row],[Discount (%)]]/100)</f>
        <v>1298.6120000000001</v>
      </c>
    </row>
    <row r="329" spans="1:11" x14ac:dyDescent="0.25">
      <c r="A329" s="6">
        <v>46155</v>
      </c>
      <c r="B329" t="s">
        <v>610</v>
      </c>
      <c r="C329" t="s">
        <v>213</v>
      </c>
      <c r="D329" t="s">
        <v>13</v>
      </c>
      <c r="E329" t="s">
        <v>62</v>
      </c>
      <c r="F329" t="s">
        <v>63</v>
      </c>
      <c r="G329">
        <v>6</v>
      </c>
      <c r="H329">
        <v>315.61</v>
      </c>
      <c r="I329">
        <v>15</v>
      </c>
      <c r="J329" t="s">
        <v>47</v>
      </c>
      <c r="K329">
        <f>SalesTable[[#This Row],[Quantity]]*SalesTable[[#This Row],[Unit Price]]*(1-SalesTable[[#This Row],[Discount (%)]]/100)</f>
        <v>1609.6110000000001</v>
      </c>
    </row>
    <row r="330" spans="1:11" x14ac:dyDescent="0.25">
      <c r="A330" s="6">
        <v>46092</v>
      </c>
      <c r="B330" t="s">
        <v>611</v>
      </c>
      <c r="C330" t="s">
        <v>256</v>
      </c>
      <c r="D330" t="s">
        <v>20</v>
      </c>
      <c r="E330" t="s">
        <v>27</v>
      </c>
      <c r="F330" t="s">
        <v>42</v>
      </c>
      <c r="G330">
        <v>1</v>
      </c>
      <c r="H330">
        <v>698.53</v>
      </c>
      <c r="I330">
        <v>5</v>
      </c>
      <c r="J330" t="s">
        <v>108</v>
      </c>
      <c r="K330">
        <f>SalesTable[[#This Row],[Quantity]]*SalesTable[[#This Row],[Unit Price]]*(1-SalesTable[[#This Row],[Discount (%)]]/100)</f>
        <v>663.60349999999994</v>
      </c>
    </row>
    <row r="331" spans="1:11" x14ac:dyDescent="0.25">
      <c r="A331" s="6">
        <v>46046</v>
      </c>
      <c r="B331" t="s">
        <v>612</v>
      </c>
      <c r="C331" t="s">
        <v>503</v>
      </c>
      <c r="D331" t="s">
        <v>26</v>
      </c>
      <c r="E331" t="s">
        <v>27</v>
      </c>
      <c r="F331" t="s">
        <v>51</v>
      </c>
      <c r="G331">
        <v>8</v>
      </c>
      <c r="H331">
        <v>144.56</v>
      </c>
      <c r="I331">
        <v>0</v>
      </c>
      <c r="J331" t="s">
        <v>22</v>
      </c>
      <c r="K331">
        <f>SalesTable[[#This Row],[Quantity]]*SalesTable[[#This Row],[Unit Price]]*(1-SalesTable[[#This Row],[Discount (%)]]/100)</f>
        <v>1156.48</v>
      </c>
    </row>
    <row r="332" spans="1:11" x14ac:dyDescent="0.25">
      <c r="A332" s="6">
        <v>46183</v>
      </c>
      <c r="B332" t="s">
        <v>613</v>
      </c>
      <c r="C332" t="s">
        <v>66</v>
      </c>
      <c r="D332" t="s">
        <v>26</v>
      </c>
      <c r="E332" t="s">
        <v>27</v>
      </c>
      <c r="F332" t="s">
        <v>28</v>
      </c>
      <c r="G332">
        <v>4</v>
      </c>
      <c r="H332">
        <v>709.88</v>
      </c>
      <c r="I332">
        <v>5</v>
      </c>
      <c r="J332" t="s">
        <v>16</v>
      </c>
      <c r="K332">
        <f>SalesTable[[#This Row],[Quantity]]*SalesTable[[#This Row],[Unit Price]]*(1-SalesTable[[#This Row],[Discount (%)]]/100)</f>
        <v>2697.5439999999999</v>
      </c>
    </row>
    <row r="333" spans="1:11" x14ac:dyDescent="0.25">
      <c r="A333" s="6">
        <v>46092</v>
      </c>
      <c r="B333" t="s">
        <v>614</v>
      </c>
      <c r="C333" t="s">
        <v>251</v>
      </c>
      <c r="D333" t="s">
        <v>13</v>
      </c>
      <c r="E333" t="s">
        <v>27</v>
      </c>
      <c r="F333" t="s">
        <v>42</v>
      </c>
      <c r="G333">
        <v>9</v>
      </c>
      <c r="H333">
        <v>437.08</v>
      </c>
      <c r="I333">
        <v>10</v>
      </c>
      <c r="J333" t="s">
        <v>29</v>
      </c>
      <c r="K333">
        <f>SalesTable[[#This Row],[Quantity]]*SalesTable[[#This Row],[Unit Price]]*(1-SalesTable[[#This Row],[Discount (%)]]/100)</f>
        <v>3540.348</v>
      </c>
    </row>
    <row r="334" spans="1:11" x14ac:dyDescent="0.25">
      <c r="A334" s="6">
        <v>46198</v>
      </c>
      <c r="B334" t="s">
        <v>615</v>
      </c>
      <c r="C334" t="s">
        <v>265</v>
      </c>
      <c r="D334" t="s">
        <v>41</v>
      </c>
      <c r="E334" t="s">
        <v>27</v>
      </c>
      <c r="F334" t="s">
        <v>28</v>
      </c>
      <c r="G334">
        <v>6</v>
      </c>
      <c r="H334">
        <v>600.52</v>
      </c>
      <c r="I334">
        <v>15</v>
      </c>
      <c r="J334" t="s">
        <v>98</v>
      </c>
      <c r="K334">
        <f>SalesTable[[#This Row],[Quantity]]*SalesTable[[#This Row],[Unit Price]]*(1-SalesTable[[#This Row],[Discount (%)]]/100)</f>
        <v>3062.652</v>
      </c>
    </row>
    <row r="335" spans="1:11" x14ac:dyDescent="0.25">
      <c r="A335" s="6">
        <v>46052</v>
      </c>
      <c r="B335" t="s">
        <v>616</v>
      </c>
      <c r="C335" t="s">
        <v>422</v>
      </c>
      <c r="D335" t="s">
        <v>13</v>
      </c>
      <c r="E335" t="s">
        <v>27</v>
      </c>
      <c r="F335" t="s">
        <v>42</v>
      </c>
      <c r="G335">
        <v>5</v>
      </c>
      <c r="H335">
        <v>451.93</v>
      </c>
      <c r="I335">
        <v>0</v>
      </c>
      <c r="J335" t="s">
        <v>16</v>
      </c>
      <c r="K335">
        <f>SalesTable[[#This Row],[Quantity]]*SalesTable[[#This Row],[Unit Price]]*(1-SalesTable[[#This Row],[Discount (%)]]/100)</f>
        <v>2259.65</v>
      </c>
    </row>
    <row r="336" spans="1:11" x14ac:dyDescent="0.25">
      <c r="A336" s="6">
        <v>46044</v>
      </c>
      <c r="B336" t="s">
        <v>617</v>
      </c>
      <c r="C336" t="s">
        <v>370</v>
      </c>
      <c r="D336" t="s">
        <v>20</v>
      </c>
      <c r="E336" t="s">
        <v>33</v>
      </c>
      <c r="F336" t="s">
        <v>34</v>
      </c>
      <c r="G336">
        <v>9</v>
      </c>
      <c r="H336">
        <v>293.7</v>
      </c>
      <c r="I336">
        <v>10</v>
      </c>
      <c r="J336" t="s">
        <v>29</v>
      </c>
      <c r="K336">
        <f>SalesTable[[#This Row],[Quantity]]*SalesTable[[#This Row],[Unit Price]]*(1-SalesTable[[#This Row],[Discount (%)]]/100)</f>
        <v>2378.9699999999998</v>
      </c>
    </row>
    <row r="337" spans="1:11" x14ac:dyDescent="0.25">
      <c r="A337" s="6">
        <v>46201</v>
      </c>
      <c r="B337" t="s">
        <v>618</v>
      </c>
      <c r="C337" t="s">
        <v>476</v>
      </c>
      <c r="D337" t="s">
        <v>13</v>
      </c>
      <c r="E337" t="s">
        <v>27</v>
      </c>
      <c r="F337" t="s">
        <v>42</v>
      </c>
      <c r="G337">
        <v>6</v>
      </c>
      <c r="H337">
        <v>762.96</v>
      </c>
      <c r="I337">
        <v>0</v>
      </c>
      <c r="J337" t="s">
        <v>22</v>
      </c>
      <c r="K337">
        <f>SalesTable[[#This Row],[Quantity]]*SalesTable[[#This Row],[Unit Price]]*(1-SalesTable[[#This Row],[Discount (%)]]/100)</f>
        <v>4577.76</v>
      </c>
    </row>
    <row r="338" spans="1:11" x14ac:dyDescent="0.25">
      <c r="A338" s="6">
        <v>46106</v>
      </c>
      <c r="B338" t="s">
        <v>619</v>
      </c>
      <c r="C338" t="s">
        <v>107</v>
      </c>
      <c r="D338" t="s">
        <v>41</v>
      </c>
      <c r="E338" t="s">
        <v>33</v>
      </c>
      <c r="F338" t="s">
        <v>46</v>
      </c>
      <c r="G338">
        <v>8</v>
      </c>
      <c r="H338">
        <v>62.56</v>
      </c>
      <c r="I338">
        <v>10</v>
      </c>
      <c r="J338" t="s">
        <v>16</v>
      </c>
      <c r="K338">
        <f>SalesTable[[#This Row],[Quantity]]*SalesTable[[#This Row],[Unit Price]]*(1-SalesTable[[#This Row],[Discount (%)]]/100)</f>
        <v>450.43200000000002</v>
      </c>
    </row>
    <row r="339" spans="1:11" x14ac:dyDescent="0.25">
      <c r="A339" s="6">
        <v>46160</v>
      </c>
      <c r="B339" t="s">
        <v>620</v>
      </c>
      <c r="C339" t="s">
        <v>503</v>
      </c>
      <c r="D339" t="s">
        <v>41</v>
      </c>
      <c r="E339" t="s">
        <v>27</v>
      </c>
      <c r="F339" t="s">
        <v>42</v>
      </c>
      <c r="G339">
        <v>9</v>
      </c>
      <c r="H339">
        <v>620.05999999999995</v>
      </c>
      <c r="I339">
        <v>15</v>
      </c>
      <c r="J339" t="s">
        <v>22</v>
      </c>
      <c r="K339">
        <f>SalesTable[[#This Row],[Quantity]]*SalesTable[[#This Row],[Unit Price]]*(1-SalesTable[[#This Row],[Discount (%)]]/100)</f>
        <v>4743.4589999999989</v>
      </c>
    </row>
    <row r="340" spans="1:11" x14ac:dyDescent="0.25">
      <c r="A340" s="6">
        <v>46182</v>
      </c>
      <c r="B340" t="s">
        <v>621</v>
      </c>
      <c r="C340" t="s">
        <v>66</v>
      </c>
      <c r="D340" t="s">
        <v>20</v>
      </c>
      <c r="E340" t="s">
        <v>27</v>
      </c>
      <c r="F340" t="s">
        <v>28</v>
      </c>
      <c r="G340">
        <v>9</v>
      </c>
      <c r="H340">
        <v>669.36</v>
      </c>
      <c r="I340">
        <v>0</v>
      </c>
      <c r="J340" t="s">
        <v>22</v>
      </c>
      <c r="K340">
        <f>SalesTable[[#This Row],[Quantity]]*SalesTable[[#This Row],[Unit Price]]*(1-SalesTable[[#This Row],[Discount (%)]]/100)</f>
        <v>6024.24</v>
      </c>
    </row>
    <row r="341" spans="1:11" x14ac:dyDescent="0.25">
      <c r="A341" s="6">
        <v>46063</v>
      </c>
      <c r="B341" t="s">
        <v>623</v>
      </c>
      <c r="C341" t="s">
        <v>318</v>
      </c>
      <c r="D341" t="s">
        <v>13</v>
      </c>
      <c r="E341" t="s">
        <v>14</v>
      </c>
      <c r="F341" t="s">
        <v>21</v>
      </c>
      <c r="G341">
        <v>7</v>
      </c>
      <c r="H341">
        <v>1136.8900000000001</v>
      </c>
      <c r="I341">
        <v>5</v>
      </c>
      <c r="J341" t="s">
        <v>16</v>
      </c>
      <c r="K341">
        <f>SalesTable[[#This Row],[Quantity]]*SalesTable[[#This Row],[Unit Price]]*(1-SalesTable[[#This Row],[Discount (%)]]/100)</f>
        <v>7560.3185000000003</v>
      </c>
    </row>
    <row r="342" spans="1:11" x14ac:dyDescent="0.25">
      <c r="A342" s="6">
        <v>46123</v>
      </c>
      <c r="B342" t="s">
        <v>624</v>
      </c>
      <c r="C342" t="s">
        <v>229</v>
      </c>
      <c r="D342" t="s">
        <v>20</v>
      </c>
      <c r="E342" t="s">
        <v>14</v>
      </c>
      <c r="F342" t="s">
        <v>15</v>
      </c>
      <c r="G342">
        <v>4</v>
      </c>
      <c r="H342">
        <v>497.48</v>
      </c>
      <c r="I342">
        <v>10</v>
      </c>
      <c r="J342" t="s">
        <v>16</v>
      </c>
      <c r="K342">
        <f>SalesTable[[#This Row],[Quantity]]*SalesTable[[#This Row],[Unit Price]]*(1-SalesTable[[#This Row],[Discount (%)]]/100)</f>
        <v>1790.9280000000001</v>
      </c>
    </row>
    <row r="343" spans="1:11" x14ac:dyDescent="0.25">
      <c r="A343" s="6">
        <v>46092</v>
      </c>
      <c r="B343" t="s">
        <v>625</v>
      </c>
      <c r="C343" t="s">
        <v>75</v>
      </c>
      <c r="D343" t="s">
        <v>26</v>
      </c>
      <c r="E343" t="s">
        <v>14</v>
      </c>
      <c r="F343" t="s">
        <v>76</v>
      </c>
      <c r="G343">
        <v>4</v>
      </c>
      <c r="H343">
        <v>971.78</v>
      </c>
      <c r="I343">
        <v>5</v>
      </c>
      <c r="J343" t="s">
        <v>22</v>
      </c>
      <c r="K343">
        <f>SalesTable[[#This Row],[Quantity]]*SalesTable[[#This Row],[Unit Price]]*(1-SalesTable[[#This Row],[Discount (%)]]/100)</f>
        <v>3692.7639999999997</v>
      </c>
    </row>
    <row r="344" spans="1:11" x14ac:dyDescent="0.25">
      <c r="A344" s="6">
        <v>46075</v>
      </c>
      <c r="B344" t="s">
        <v>626</v>
      </c>
      <c r="C344" t="s">
        <v>269</v>
      </c>
      <c r="D344" t="s">
        <v>13</v>
      </c>
      <c r="E344" t="s">
        <v>33</v>
      </c>
      <c r="F344" t="s">
        <v>82</v>
      </c>
      <c r="G344">
        <v>2</v>
      </c>
      <c r="H344">
        <v>95.82</v>
      </c>
      <c r="I344">
        <v>10</v>
      </c>
      <c r="J344" t="s">
        <v>16</v>
      </c>
      <c r="K344">
        <f>SalesTable[[#This Row],[Quantity]]*SalesTable[[#This Row],[Unit Price]]*(1-SalesTable[[#This Row],[Discount (%)]]/100)</f>
        <v>172.476</v>
      </c>
    </row>
    <row r="345" spans="1:11" x14ac:dyDescent="0.25">
      <c r="A345" s="6">
        <v>46142</v>
      </c>
      <c r="B345" t="s">
        <v>627</v>
      </c>
      <c r="C345" t="s">
        <v>289</v>
      </c>
      <c r="D345" t="s">
        <v>20</v>
      </c>
      <c r="E345" t="s">
        <v>14</v>
      </c>
      <c r="F345" t="s">
        <v>15</v>
      </c>
      <c r="G345">
        <v>8</v>
      </c>
      <c r="H345">
        <v>955.17</v>
      </c>
      <c r="I345">
        <v>5</v>
      </c>
      <c r="J345" t="s">
        <v>22</v>
      </c>
      <c r="K345">
        <f>SalesTable[[#This Row],[Quantity]]*SalesTable[[#This Row],[Unit Price]]*(1-SalesTable[[#This Row],[Discount (%)]]/100)</f>
        <v>7259.2919999999995</v>
      </c>
    </row>
    <row r="346" spans="1:11" x14ac:dyDescent="0.25">
      <c r="A346" s="6">
        <v>46054</v>
      </c>
      <c r="B346" t="s">
        <v>628</v>
      </c>
      <c r="C346" t="s">
        <v>40</v>
      </c>
      <c r="D346" t="s">
        <v>41</v>
      </c>
      <c r="E346" t="s">
        <v>62</v>
      </c>
      <c r="F346" t="s">
        <v>63</v>
      </c>
      <c r="G346">
        <v>2</v>
      </c>
      <c r="H346">
        <v>180.58</v>
      </c>
      <c r="I346">
        <v>15</v>
      </c>
      <c r="J346" t="s">
        <v>22</v>
      </c>
      <c r="K346">
        <f>SalesTable[[#This Row],[Quantity]]*SalesTable[[#This Row],[Unit Price]]*(1-SalesTable[[#This Row],[Discount (%)]]/100)</f>
        <v>306.98599999999999</v>
      </c>
    </row>
    <row r="347" spans="1:11" x14ac:dyDescent="0.25">
      <c r="A347" s="6">
        <v>46063</v>
      </c>
      <c r="B347" t="s">
        <v>629</v>
      </c>
      <c r="C347" t="s">
        <v>261</v>
      </c>
      <c r="D347" t="s">
        <v>13</v>
      </c>
      <c r="E347" t="s">
        <v>33</v>
      </c>
      <c r="F347" t="s">
        <v>46</v>
      </c>
      <c r="G347">
        <v>10</v>
      </c>
      <c r="H347">
        <v>222.66</v>
      </c>
      <c r="I347">
        <v>15</v>
      </c>
      <c r="J347" t="s">
        <v>16</v>
      </c>
      <c r="K347">
        <f>SalesTable[[#This Row],[Quantity]]*SalesTable[[#This Row],[Unit Price]]*(1-SalesTable[[#This Row],[Discount (%)]]/100)</f>
        <v>1892.61</v>
      </c>
    </row>
    <row r="348" spans="1:11" x14ac:dyDescent="0.25">
      <c r="A348" s="6">
        <v>46098</v>
      </c>
      <c r="B348" t="s">
        <v>630</v>
      </c>
      <c r="C348" t="s">
        <v>272</v>
      </c>
      <c r="D348" t="s">
        <v>13</v>
      </c>
      <c r="E348" t="s">
        <v>14</v>
      </c>
      <c r="F348" t="s">
        <v>15</v>
      </c>
      <c r="G348">
        <v>8</v>
      </c>
      <c r="H348">
        <v>74.27</v>
      </c>
      <c r="I348">
        <v>10</v>
      </c>
      <c r="J348" t="s">
        <v>16</v>
      </c>
      <c r="K348">
        <f>SalesTable[[#This Row],[Quantity]]*SalesTable[[#This Row],[Unit Price]]*(1-SalesTable[[#This Row],[Discount (%)]]/100)</f>
        <v>534.74400000000003</v>
      </c>
    </row>
    <row r="349" spans="1:11" x14ac:dyDescent="0.25">
      <c r="A349" s="6">
        <v>46212</v>
      </c>
      <c r="B349" t="s">
        <v>632</v>
      </c>
      <c r="C349" t="s">
        <v>386</v>
      </c>
      <c r="D349" t="s">
        <v>26</v>
      </c>
      <c r="E349" t="s">
        <v>27</v>
      </c>
      <c r="F349" t="s">
        <v>51</v>
      </c>
      <c r="G349">
        <v>10</v>
      </c>
      <c r="H349">
        <v>503.99</v>
      </c>
      <c r="I349">
        <v>5</v>
      </c>
      <c r="J349" t="s">
        <v>98</v>
      </c>
      <c r="K349">
        <f>SalesTable[[#This Row],[Quantity]]*SalesTable[[#This Row],[Unit Price]]*(1-SalesTable[[#This Row],[Discount (%)]]/100)</f>
        <v>4787.9049999999997</v>
      </c>
    </row>
    <row r="350" spans="1:11" x14ac:dyDescent="0.25">
      <c r="A350" s="6">
        <v>46098</v>
      </c>
      <c r="B350" t="s">
        <v>633</v>
      </c>
      <c r="C350" t="s">
        <v>314</v>
      </c>
      <c r="D350" t="s">
        <v>26</v>
      </c>
      <c r="E350" t="s">
        <v>27</v>
      </c>
      <c r="F350" t="s">
        <v>42</v>
      </c>
      <c r="G350">
        <v>10</v>
      </c>
      <c r="H350">
        <v>684.93</v>
      </c>
      <c r="I350">
        <v>0</v>
      </c>
      <c r="J350" t="s">
        <v>98</v>
      </c>
      <c r="K350">
        <f>SalesTable[[#This Row],[Quantity]]*SalesTable[[#This Row],[Unit Price]]*(1-SalesTable[[#This Row],[Discount (%)]]/100)</f>
        <v>6849.2999999999993</v>
      </c>
    </row>
    <row r="351" spans="1:11" x14ac:dyDescent="0.25">
      <c r="A351" s="6">
        <v>46199</v>
      </c>
      <c r="B351" t="s">
        <v>635</v>
      </c>
      <c r="C351" t="s">
        <v>236</v>
      </c>
      <c r="D351" t="s">
        <v>13</v>
      </c>
      <c r="E351" t="s">
        <v>14</v>
      </c>
      <c r="F351" t="s">
        <v>76</v>
      </c>
      <c r="G351">
        <v>2</v>
      </c>
      <c r="H351">
        <v>912.6</v>
      </c>
      <c r="I351">
        <v>10</v>
      </c>
      <c r="J351" t="s">
        <v>98</v>
      </c>
      <c r="K351">
        <f>SalesTable[[#This Row],[Quantity]]*SalesTable[[#This Row],[Unit Price]]*(1-SalesTable[[#This Row],[Discount (%)]]/100)</f>
        <v>1642.68</v>
      </c>
    </row>
    <row r="352" spans="1:11" x14ac:dyDescent="0.25">
      <c r="A352" s="6">
        <v>46124</v>
      </c>
      <c r="B352" t="s">
        <v>636</v>
      </c>
      <c r="C352" t="s">
        <v>307</v>
      </c>
      <c r="D352" t="s">
        <v>41</v>
      </c>
      <c r="E352" t="s">
        <v>62</v>
      </c>
      <c r="F352" t="s">
        <v>63</v>
      </c>
      <c r="G352">
        <v>5</v>
      </c>
      <c r="H352">
        <v>1010.71</v>
      </c>
      <c r="I352">
        <v>5</v>
      </c>
      <c r="J352" t="s">
        <v>98</v>
      </c>
      <c r="K352">
        <f>SalesTable[[#This Row],[Quantity]]*SalesTable[[#This Row],[Unit Price]]*(1-SalesTable[[#This Row],[Discount (%)]]/100)</f>
        <v>4800.8725000000004</v>
      </c>
    </row>
    <row r="353" spans="1:11" x14ac:dyDescent="0.25">
      <c r="A353" s="6">
        <v>46170</v>
      </c>
      <c r="B353" t="s">
        <v>637</v>
      </c>
      <c r="C353" t="s">
        <v>69</v>
      </c>
      <c r="D353" t="s">
        <v>13</v>
      </c>
      <c r="E353" t="s">
        <v>62</v>
      </c>
      <c r="F353" t="s">
        <v>79</v>
      </c>
      <c r="G353">
        <v>8</v>
      </c>
      <c r="H353">
        <v>983.86</v>
      </c>
      <c r="I353">
        <v>10</v>
      </c>
      <c r="J353" t="s">
        <v>22</v>
      </c>
      <c r="K353">
        <f>SalesTable[[#This Row],[Quantity]]*SalesTable[[#This Row],[Unit Price]]*(1-SalesTable[[#This Row],[Discount (%)]]/100)</f>
        <v>7083.7920000000004</v>
      </c>
    </row>
    <row r="354" spans="1:11" x14ac:dyDescent="0.25">
      <c r="A354" s="6">
        <v>46047</v>
      </c>
      <c r="B354" t="s">
        <v>638</v>
      </c>
      <c r="C354" t="s">
        <v>75</v>
      </c>
      <c r="D354" t="s">
        <v>13</v>
      </c>
      <c r="E354" t="s">
        <v>33</v>
      </c>
      <c r="F354" t="s">
        <v>34</v>
      </c>
      <c r="G354">
        <v>6</v>
      </c>
      <c r="H354">
        <v>1125.9100000000001</v>
      </c>
      <c r="I354">
        <v>10</v>
      </c>
      <c r="J354" t="s">
        <v>22</v>
      </c>
      <c r="K354">
        <f>SalesTable[[#This Row],[Quantity]]*SalesTable[[#This Row],[Unit Price]]*(1-SalesTable[[#This Row],[Discount (%)]]/100)</f>
        <v>6079.9140000000007</v>
      </c>
    </row>
    <row r="355" spans="1:11" x14ac:dyDescent="0.25">
      <c r="A355" s="6">
        <v>46031</v>
      </c>
      <c r="B355" t="s">
        <v>639</v>
      </c>
      <c r="C355" t="s">
        <v>201</v>
      </c>
      <c r="D355" t="s">
        <v>26</v>
      </c>
      <c r="E355" t="s">
        <v>62</v>
      </c>
      <c r="F355" t="s">
        <v>79</v>
      </c>
      <c r="G355">
        <v>1</v>
      </c>
      <c r="H355">
        <v>179.27</v>
      </c>
      <c r="I355">
        <v>5</v>
      </c>
      <c r="J355" t="s">
        <v>29</v>
      </c>
      <c r="K355">
        <f>SalesTable[[#This Row],[Quantity]]*SalesTable[[#This Row],[Unit Price]]*(1-SalesTable[[#This Row],[Discount (%)]]/100)</f>
        <v>170.3065</v>
      </c>
    </row>
    <row r="356" spans="1:11" x14ac:dyDescent="0.25">
      <c r="A356" s="6">
        <v>46061</v>
      </c>
      <c r="B356" t="s">
        <v>640</v>
      </c>
      <c r="C356" t="s">
        <v>370</v>
      </c>
      <c r="D356" t="s">
        <v>26</v>
      </c>
      <c r="E356" t="s">
        <v>27</v>
      </c>
      <c r="F356" t="s">
        <v>42</v>
      </c>
      <c r="G356">
        <v>9</v>
      </c>
      <c r="H356">
        <v>22.63</v>
      </c>
      <c r="I356">
        <v>15</v>
      </c>
      <c r="J356" t="s">
        <v>22</v>
      </c>
      <c r="K356">
        <f>SalesTable[[#This Row],[Quantity]]*SalesTable[[#This Row],[Unit Price]]*(1-SalesTable[[#This Row],[Discount (%)]]/100)</f>
        <v>173.11949999999999</v>
      </c>
    </row>
    <row r="357" spans="1:11" x14ac:dyDescent="0.25">
      <c r="A357" s="6">
        <v>46126</v>
      </c>
      <c r="B357" t="s">
        <v>641</v>
      </c>
      <c r="C357" t="s">
        <v>269</v>
      </c>
      <c r="D357" t="s">
        <v>20</v>
      </c>
      <c r="E357" t="s">
        <v>33</v>
      </c>
      <c r="F357" t="s">
        <v>82</v>
      </c>
      <c r="G357">
        <v>6</v>
      </c>
      <c r="H357">
        <v>725.45</v>
      </c>
      <c r="I357">
        <v>0</v>
      </c>
      <c r="J357" t="s">
        <v>16</v>
      </c>
      <c r="K357">
        <f>SalesTable[[#This Row],[Quantity]]*SalesTable[[#This Row],[Unit Price]]*(1-SalesTable[[#This Row],[Discount (%)]]/100)</f>
        <v>4352.7000000000007</v>
      </c>
    </row>
    <row r="358" spans="1:11" x14ac:dyDescent="0.25">
      <c r="A358" s="6">
        <v>46031</v>
      </c>
      <c r="B358" t="s">
        <v>642</v>
      </c>
      <c r="C358" t="s">
        <v>216</v>
      </c>
      <c r="D358" t="s">
        <v>13</v>
      </c>
      <c r="E358" t="s">
        <v>62</v>
      </c>
      <c r="F358" t="s">
        <v>79</v>
      </c>
      <c r="G358">
        <v>9</v>
      </c>
      <c r="H358">
        <v>1178.1099999999999</v>
      </c>
      <c r="I358">
        <v>10</v>
      </c>
      <c r="J358" t="s">
        <v>108</v>
      </c>
      <c r="K358">
        <f>SalesTable[[#This Row],[Quantity]]*SalesTable[[#This Row],[Unit Price]]*(1-SalesTable[[#This Row],[Discount (%)]]/100)</f>
        <v>9542.6910000000007</v>
      </c>
    </row>
    <row r="359" spans="1:11" x14ac:dyDescent="0.25">
      <c r="A359" s="6">
        <v>46055</v>
      </c>
      <c r="B359" t="s">
        <v>643</v>
      </c>
      <c r="C359" t="s">
        <v>254</v>
      </c>
      <c r="D359" t="s">
        <v>20</v>
      </c>
      <c r="E359" t="s">
        <v>33</v>
      </c>
      <c r="F359" t="s">
        <v>46</v>
      </c>
      <c r="G359">
        <v>6</v>
      </c>
      <c r="H359">
        <v>1050.49</v>
      </c>
      <c r="I359">
        <v>10</v>
      </c>
      <c r="J359" t="s">
        <v>16</v>
      </c>
      <c r="K359">
        <f>SalesTable[[#This Row],[Quantity]]*SalesTable[[#This Row],[Unit Price]]*(1-SalesTable[[#This Row],[Discount (%)]]/100)</f>
        <v>5672.6460000000006</v>
      </c>
    </row>
    <row r="360" spans="1:11" x14ac:dyDescent="0.25">
      <c r="A360" s="6">
        <v>46036</v>
      </c>
      <c r="B360" t="s">
        <v>645</v>
      </c>
      <c r="C360" t="s">
        <v>72</v>
      </c>
      <c r="D360" t="s">
        <v>20</v>
      </c>
      <c r="E360" t="s">
        <v>33</v>
      </c>
      <c r="F360" t="s">
        <v>82</v>
      </c>
      <c r="G360">
        <v>7</v>
      </c>
      <c r="H360">
        <v>403.57</v>
      </c>
      <c r="I360">
        <v>15</v>
      </c>
      <c r="J360" t="s">
        <v>29</v>
      </c>
      <c r="K360">
        <f>SalesTable[[#This Row],[Quantity]]*SalesTable[[#This Row],[Unit Price]]*(1-SalesTable[[#This Row],[Discount (%)]]/100)</f>
        <v>2401.2414999999996</v>
      </c>
    </row>
    <row r="361" spans="1:11" x14ac:dyDescent="0.25">
      <c r="A361" s="6">
        <v>46062</v>
      </c>
      <c r="B361" t="s">
        <v>646</v>
      </c>
      <c r="C361" t="s">
        <v>254</v>
      </c>
      <c r="D361" t="s">
        <v>26</v>
      </c>
      <c r="E361" t="s">
        <v>62</v>
      </c>
      <c r="F361" t="s">
        <v>73</v>
      </c>
      <c r="G361">
        <v>7</v>
      </c>
      <c r="H361">
        <v>497.87</v>
      </c>
      <c r="I361">
        <v>15</v>
      </c>
      <c r="J361" t="s">
        <v>47</v>
      </c>
      <c r="K361">
        <f>SalesTable[[#This Row],[Quantity]]*SalesTable[[#This Row],[Unit Price]]*(1-SalesTable[[#This Row],[Discount (%)]]/100)</f>
        <v>2962.3265000000001</v>
      </c>
    </row>
    <row r="362" spans="1:11" x14ac:dyDescent="0.25">
      <c r="A362" s="6">
        <v>46081</v>
      </c>
      <c r="B362" t="s">
        <v>647</v>
      </c>
      <c r="C362" t="s">
        <v>101</v>
      </c>
      <c r="D362" t="s">
        <v>41</v>
      </c>
      <c r="E362" t="s">
        <v>62</v>
      </c>
      <c r="F362" t="s">
        <v>63</v>
      </c>
      <c r="G362">
        <v>9</v>
      </c>
      <c r="H362">
        <v>738.27</v>
      </c>
      <c r="I362">
        <v>0</v>
      </c>
      <c r="J362" t="s">
        <v>22</v>
      </c>
      <c r="K362">
        <f>SalesTable[[#This Row],[Quantity]]*SalesTable[[#This Row],[Unit Price]]*(1-SalesTable[[#This Row],[Discount (%)]]/100)</f>
        <v>6644.43</v>
      </c>
    </row>
    <row r="363" spans="1:11" x14ac:dyDescent="0.25">
      <c r="A363" s="6">
        <v>46036</v>
      </c>
      <c r="B363" t="s">
        <v>648</v>
      </c>
      <c r="C363" t="s">
        <v>455</v>
      </c>
      <c r="D363" t="s">
        <v>13</v>
      </c>
      <c r="E363" t="s">
        <v>27</v>
      </c>
      <c r="F363" t="s">
        <v>28</v>
      </c>
      <c r="G363">
        <v>10</v>
      </c>
      <c r="H363">
        <v>624.80999999999995</v>
      </c>
      <c r="I363">
        <v>15</v>
      </c>
      <c r="J363" t="s">
        <v>108</v>
      </c>
      <c r="K363">
        <f>SalesTable[[#This Row],[Quantity]]*SalesTable[[#This Row],[Unit Price]]*(1-SalesTable[[#This Row],[Discount (%)]]/100)</f>
        <v>5310.8849999999993</v>
      </c>
    </row>
    <row r="364" spans="1:11" x14ac:dyDescent="0.25">
      <c r="A364" s="6">
        <v>46100</v>
      </c>
      <c r="B364" t="s">
        <v>649</v>
      </c>
      <c r="C364" t="s">
        <v>333</v>
      </c>
      <c r="D364" t="s">
        <v>26</v>
      </c>
      <c r="E364" t="s">
        <v>33</v>
      </c>
      <c r="F364" t="s">
        <v>46</v>
      </c>
      <c r="G364">
        <v>9</v>
      </c>
      <c r="H364">
        <v>972.39</v>
      </c>
      <c r="I364">
        <v>0</v>
      </c>
      <c r="J364" t="s">
        <v>108</v>
      </c>
      <c r="K364">
        <f>SalesTable[[#This Row],[Quantity]]*SalesTable[[#This Row],[Unit Price]]*(1-SalesTable[[#This Row],[Discount (%)]]/100)</f>
        <v>8751.51</v>
      </c>
    </row>
    <row r="365" spans="1:11" x14ac:dyDescent="0.25">
      <c r="A365" s="6">
        <v>46111</v>
      </c>
      <c r="B365" t="s">
        <v>651</v>
      </c>
      <c r="C365" t="s">
        <v>19</v>
      </c>
      <c r="D365" t="s">
        <v>13</v>
      </c>
      <c r="E365" t="s">
        <v>62</v>
      </c>
      <c r="F365" t="s">
        <v>73</v>
      </c>
      <c r="G365">
        <v>4</v>
      </c>
      <c r="H365">
        <v>807.95</v>
      </c>
      <c r="I365">
        <v>10</v>
      </c>
      <c r="J365" t="s">
        <v>22</v>
      </c>
      <c r="K365">
        <f>SalesTable[[#This Row],[Quantity]]*SalesTable[[#This Row],[Unit Price]]*(1-SalesTable[[#This Row],[Discount (%)]]/100)</f>
        <v>2908.6200000000003</v>
      </c>
    </row>
    <row r="366" spans="1:11" x14ac:dyDescent="0.25">
      <c r="A366" s="6">
        <v>46046</v>
      </c>
      <c r="B366" t="s">
        <v>652</v>
      </c>
      <c r="C366" t="s">
        <v>356</v>
      </c>
      <c r="D366" t="s">
        <v>13</v>
      </c>
      <c r="E366" t="s">
        <v>14</v>
      </c>
      <c r="F366" t="s">
        <v>76</v>
      </c>
      <c r="G366">
        <v>10</v>
      </c>
      <c r="H366">
        <v>360</v>
      </c>
      <c r="I366">
        <v>15</v>
      </c>
      <c r="J366" t="s">
        <v>29</v>
      </c>
      <c r="K366">
        <f>SalesTable[[#This Row],[Quantity]]*SalesTable[[#This Row],[Unit Price]]*(1-SalesTable[[#This Row],[Discount (%)]]/100)</f>
        <v>3060</v>
      </c>
    </row>
    <row r="367" spans="1:11" x14ac:dyDescent="0.25">
      <c r="A367" s="6">
        <v>46118</v>
      </c>
      <c r="B367" t="s">
        <v>654</v>
      </c>
      <c r="C367" t="s">
        <v>196</v>
      </c>
      <c r="D367" t="s">
        <v>20</v>
      </c>
      <c r="E367" t="s">
        <v>27</v>
      </c>
      <c r="F367" t="s">
        <v>51</v>
      </c>
      <c r="G367">
        <v>4</v>
      </c>
      <c r="H367">
        <v>714.17</v>
      </c>
      <c r="I367">
        <v>10</v>
      </c>
      <c r="J367" t="s">
        <v>16</v>
      </c>
      <c r="K367">
        <f>SalesTable[[#This Row],[Quantity]]*SalesTable[[#This Row],[Unit Price]]*(1-SalesTable[[#This Row],[Discount (%)]]/100)</f>
        <v>2571.0119999999997</v>
      </c>
    </row>
    <row r="368" spans="1:11" x14ac:dyDescent="0.25">
      <c r="A368" s="6">
        <v>46069</v>
      </c>
      <c r="B368" t="s">
        <v>655</v>
      </c>
      <c r="C368" t="s">
        <v>32</v>
      </c>
      <c r="D368" t="s">
        <v>13</v>
      </c>
      <c r="E368" t="s">
        <v>14</v>
      </c>
      <c r="F368" t="s">
        <v>76</v>
      </c>
      <c r="G368">
        <v>3</v>
      </c>
      <c r="H368">
        <v>1167.06</v>
      </c>
      <c r="I368">
        <v>5</v>
      </c>
      <c r="J368" t="s">
        <v>22</v>
      </c>
      <c r="K368">
        <f>SalesTable[[#This Row],[Quantity]]*SalesTable[[#This Row],[Unit Price]]*(1-SalesTable[[#This Row],[Discount (%)]]/100)</f>
        <v>3326.1209999999996</v>
      </c>
    </row>
    <row r="369" spans="1:11" x14ac:dyDescent="0.25">
      <c r="A369" s="6">
        <v>46134</v>
      </c>
      <c r="B369" t="s">
        <v>656</v>
      </c>
      <c r="C369" t="s">
        <v>422</v>
      </c>
      <c r="D369" t="s">
        <v>41</v>
      </c>
      <c r="E369" t="s">
        <v>27</v>
      </c>
      <c r="F369" t="s">
        <v>51</v>
      </c>
      <c r="G369">
        <v>1</v>
      </c>
      <c r="H369">
        <v>962.98</v>
      </c>
      <c r="I369">
        <v>0</v>
      </c>
      <c r="J369" t="s">
        <v>98</v>
      </c>
      <c r="K369">
        <f>SalesTable[[#This Row],[Quantity]]*SalesTable[[#This Row],[Unit Price]]*(1-SalesTable[[#This Row],[Discount (%)]]/100)</f>
        <v>962.98</v>
      </c>
    </row>
    <row r="370" spans="1:11" x14ac:dyDescent="0.25">
      <c r="A370" s="6">
        <v>46062</v>
      </c>
      <c r="B370" t="s">
        <v>657</v>
      </c>
      <c r="C370" t="s">
        <v>150</v>
      </c>
      <c r="D370" t="s">
        <v>13</v>
      </c>
      <c r="E370" t="s">
        <v>27</v>
      </c>
      <c r="F370" t="s">
        <v>51</v>
      </c>
      <c r="G370">
        <v>5</v>
      </c>
      <c r="H370">
        <v>518.75</v>
      </c>
      <c r="I370">
        <v>0</v>
      </c>
      <c r="J370" t="s">
        <v>98</v>
      </c>
      <c r="K370">
        <f>SalesTable[[#This Row],[Quantity]]*SalesTable[[#This Row],[Unit Price]]*(1-SalesTable[[#This Row],[Discount (%)]]/100)</f>
        <v>2593.75</v>
      </c>
    </row>
    <row r="371" spans="1:11" x14ac:dyDescent="0.25">
      <c r="A371" s="6">
        <v>46120</v>
      </c>
      <c r="B371" t="s">
        <v>658</v>
      </c>
      <c r="C371" t="s">
        <v>333</v>
      </c>
      <c r="D371" t="s">
        <v>41</v>
      </c>
      <c r="E371" t="s">
        <v>33</v>
      </c>
      <c r="F371" t="s">
        <v>46</v>
      </c>
      <c r="G371">
        <v>2</v>
      </c>
      <c r="H371">
        <v>141.15</v>
      </c>
      <c r="I371">
        <v>10</v>
      </c>
      <c r="J371" t="s">
        <v>108</v>
      </c>
      <c r="K371">
        <f>SalesTable[[#This Row],[Quantity]]*SalesTable[[#This Row],[Unit Price]]*(1-SalesTable[[#This Row],[Discount (%)]]/100)</f>
        <v>254.07000000000002</v>
      </c>
    </row>
    <row r="372" spans="1:11" x14ac:dyDescent="0.25">
      <c r="A372" s="6">
        <v>46115</v>
      </c>
      <c r="B372" t="s">
        <v>659</v>
      </c>
      <c r="C372" t="s">
        <v>356</v>
      </c>
      <c r="D372" t="s">
        <v>26</v>
      </c>
      <c r="E372" t="s">
        <v>14</v>
      </c>
      <c r="F372" t="s">
        <v>15</v>
      </c>
      <c r="G372">
        <v>5</v>
      </c>
      <c r="H372">
        <v>897.27</v>
      </c>
      <c r="I372">
        <v>5</v>
      </c>
      <c r="J372" t="s">
        <v>47</v>
      </c>
      <c r="K372">
        <f>SalesTable[[#This Row],[Quantity]]*SalesTable[[#This Row],[Unit Price]]*(1-SalesTable[[#This Row],[Discount (%)]]/100)</f>
        <v>4262.0325000000003</v>
      </c>
    </row>
    <row r="373" spans="1:11" x14ac:dyDescent="0.25">
      <c r="A373" s="6">
        <v>46080</v>
      </c>
      <c r="B373" t="s">
        <v>660</v>
      </c>
      <c r="C373" t="s">
        <v>129</v>
      </c>
      <c r="D373" t="s">
        <v>13</v>
      </c>
      <c r="E373" t="s">
        <v>33</v>
      </c>
      <c r="F373" t="s">
        <v>82</v>
      </c>
      <c r="G373">
        <v>6</v>
      </c>
      <c r="H373">
        <v>1080.67</v>
      </c>
      <c r="I373">
        <v>0</v>
      </c>
      <c r="J373" t="s">
        <v>98</v>
      </c>
      <c r="K373">
        <f>SalesTable[[#This Row],[Quantity]]*SalesTable[[#This Row],[Unit Price]]*(1-SalesTable[[#This Row],[Discount (%)]]/100)</f>
        <v>6484.02</v>
      </c>
    </row>
    <row r="374" spans="1:11" x14ac:dyDescent="0.25">
      <c r="A374" s="6">
        <v>46210</v>
      </c>
      <c r="B374" t="s">
        <v>661</v>
      </c>
      <c r="C374" t="s">
        <v>201</v>
      </c>
      <c r="D374" t="s">
        <v>26</v>
      </c>
      <c r="E374" t="s">
        <v>27</v>
      </c>
      <c r="F374" t="s">
        <v>51</v>
      </c>
      <c r="G374">
        <v>9</v>
      </c>
      <c r="H374">
        <v>1135.8800000000001</v>
      </c>
      <c r="I374">
        <v>10</v>
      </c>
      <c r="J374" t="s">
        <v>108</v>
      </c>
      <c r="K374">
        <f>SalesTable[[#This Row],[Quantity]]*SalesTable[[#This Row],[Unit Price]]*(1-SalesTable[[#This Row],[Discount (%)]]/100)</f>
        <v>9200.6280000000024</v>
      </c>
    </row>
    <row r="375" spans="1:11" x14ac:dyDescent="0.25">
      <c r="A375" s="6">
        <v>46098</v>
      </c>
      <c r="B375" t="s">
        <v>662</v>
      </c>
      <c r="C375" t="s">
        <v>279</v>
      </c>
      <c r="D375" t="s">
        <v>20</v>
      </c>
      <c r="E375" t="s">
        <v>27</v>
      </c>
      <c r="F375" t="s">
        <v>28</v>
      </c>
      <c r="G375">
        <v>5</v>
      </c>
      <c r="H375">
        <v>966.24</v>
      </c>
      <c r="I375">
        <v>10</v>
      </c>
      <c r="J375" t="s">
        <v>98</v>
      </c>
      <c r="K375">
        <f>SalesTable[[#This Row],[Quantity]]*SalesTable[[#This Row],[Unit Price]]*(1-SalesTable[[#This Row],[Discount (%)]]/100)</f>
        <v>4348.08</v>
      </c>
    </row>
    <row r="376" spans="1:11" x14ac:dyDescent="0.25">
      <c r="A376" s="6">
        <v>46163</v>
      </c>
      <c r="B376" t="s">
        <v>663</v>
      </c>
      <c r="C376" t="s">
        <v>356</v>
      </c>
      <c r="D376" t="s">
        <v>41</v>
      </c>
      <c r="E376" t="s">
        <v>33</v>
      </c>
      <c r="F376" t="s">
        <v>34</v>
      </c>
      <c r="G376">
        <v>5</v>
      </c>
      <c r="H376">
        <v>319.89</v>
      </c>
      <c r="I376">
        <v>0</v>
      </c>
      <c r="J376" t="s">
        <v>47</v>
      </c>
      <c r="K376">
        <f>SalesTable[[#This Row],[Quantity]]*SalesTable[[#This Row],[Unit Price]]*(1-SalesTable[[#This Row],[Discount (%)]]/100)</f>
        <v>1599.4499999999998</v>
      </c>
    </row>
    <row r="377" spans="1:11" x14ac:dyDescent="0.25">
      <c r="A377" s="6">
        <v>46088</v>
      </c>
      <c r="B377" t="s">
        <v>664</v>
      </c>
      <c r="C377" t="s">
        <v>256</v>
      </c>
      <c r="D377" t="s">
        <v>41</v>
      </c>
      <c r="E377" t="s">
        <v>14</v>
      </c>
      <c r="F377" t="s">
        <v>15</v>
      </c>
      <c r="G377">
        <v>5</v>
      </c>
      <c r="H377">
        <v>659.17</v>
      </c>
      <c r="I377">
        <v>15</v>
      </c>
      <c r="J377" t="s">
        <v>16</v>
      </c>
      <c r="K377">
        <f>SalesTable[[#This Row],[Quantity]]*SalesTable[[#This Row],[Unit Price]]*(1-SalesTable[[#This Row],[Discount (%)]]/100)</f>
        <v>2801.4724999999999</v>
      </c>
    </row>
    <row r="378" spans="1:11" x14ac:dyDescent="0.25">
      <c r="A378" s="6">
        <v>46068</v>
      </c>
      <c r="B378" t="s">
        <v>665</v>
      </c>
      <c r="C378" t="s">
        <v>356</v>
      </c>
      <c r="D378" t="s">
        <v>41</v>
      </c>
      <c r="E378" t="s">
        <v>27</v>
      </c>
      <c r="F378" t="s">
        <v>42</v>
      </c>
      <c r="G378">
        <v>10</v>
      </c>
      <c r="H378">
        <v>677.21</v>
      </c>
      <c r="I378">
        <v>5</v>
      </c>
      <c r="J378" t="s">
        <v>47</v>
      </c>
      <c r="K378">
        <f>SalesTable[[#This Row],[Quantity]]*SalesTable[[#This Row],[Unit Price]]*(1-SalesTable[[#This Row],[Discount (%)]]/100)</f>
        <v>6433.4949999999999</v>
      </c>
    </row>
    <row r="379" spans="1:11" x14ac:dyDescent="0.25">
      <c r="A379" s="6">
        <v>46033</v>
      </c>
      <c r="B379" t="s">
        <v>666</v>
      </c>
      <c r="C379" t="s">
        <v>192</v>
      </c>
      <c r="D379" t="s">
        <v>26</v>
      </c>
      <c r="E379" t="s">
        <v>33</v>
      </c>
      <c r="F379" t="s">
        <v>34</v>
      </c>
      <c r="G379">
        <v>10</v>
      </c>
      <c r="H379">
        <v>297.14</v>
      </c>
      <c r="I379">
        <v>10</v>
      </c>
      <c r="J379" t="s">
        <v>108</v>
      </c>
      <c r="K379">
        <f>SalesTable[[#This Row],[Quantity]]*SalesTable[[#This Row],[Unit Price]]*(1-SalesTable[[#This Row],[Discount (%)]]/100)</f>
        <v>2674.2599999999998</v>
      </c>
    </row>
    <row r="380" spans="1:11" x14ac:dyDescent="0.25">
      <c r="A380" s="6">
        <v>46032</v>
      </c>
      <c r="B380" t="s">
        <v>667</v>
      </c>
      <c r="C380" t="s">
        <v>379</v>
      </c>
      <c r="D380" t="s">
        <v>41</v>
      </c>
      <c r="E380" t="s">
        <v>14</v>
      </c>
      <c r="F380" t="s">
        <v>76</v>
      </c>
      <c r="G380">
        <v>10</v>
      </c>
      <c r="H380">
        <v>1182.8800000000001</v>
      </c>
      <c r="I380">
        <v>10</v>
      </c>
      <c r="J380" t="s">
        <v>29</v>
      </c>
      <c r="K380">
        <f>SalesTable[[#This Row],[Quantity]]*SalesTable[[#This Row],[Unit Price]]*(1-SalesTable[[#This Row],[Discount (%)]]/100)</f>
        <v>10645.920000000002</v>
      </c>
    </row>
    <row r="381" spans="1:11" x14ac:dyDescent="0.25">
      <c r="A381" s="6">
        <v>46096</v>
      </c>
      <c r="B381" t="s">
        <v>668</v>
      </c>
      <c r="C381" t="s">
        <v>104</v>
      </c>
      <c r="D381" t="s">
        <v>41</v>
      </c>
      <c r="E381" t="s">
        <v>27</v>
      </c>
      <c r="F381" t="s">
        <v>28</v>
      </c>
      <c r="G381">
        <v>8</v>
      </c>
      <c r="H381">
        <v>589.69000000000005</v>
      </c>
      <c r="I381">
        <v>0</v>
      </c>
      <c r="J381" t="s">
        <v>29</v>
      </c>
      <c r="K381">
        <f>SalesTable[[#This Row],[Quantity]]*SalesTable[[#This Row],[Unit Price]]*(1-SalesTable[[#This Row],[Discount (%)]]/100)</f>
        <v>4717.5200000000004</v>
      </c>
    </row>
    <row r="382" spans="1:11" x14ac:dyDescent="0.25">
      <c r="A382" s="6">
        <v>46221</v>
      </c>
      <c r="B382" t="s">
        <v>669</v>
      </c>
      <c r="C382" t="s">
        <v>85</v>
      </c>
      <c r="D382" t="s">
        <v>41</v>
      </c>
      <c r="E382" t="s">
        <v>27</v>
      </c>
      <c r="F382" t="s">
        <v>28</v>
      </c>
      <c r="G382">
        <v>10</v>
      </c>
      <c r="H382">
        <v>788.8</v>
      </c>
      <c r="I382">
        <v>0</v>
      </c>
      <c r="J382" t="s">
        <v>16</v>
      </c>
      <c r="K382">
        <f>SalesTable[[#This Row],[Quantity]]*SalesTable[[#This Row],[Unit Price]]*(1-SalesTable[[#This Row],[Discount (%)]]/100)</f>
        <v>7888</v>
      </c>
    </row>
    <row r="383" spans="1:11" x14ac:dyDescent="0.25">
      <c r="A383" s="6">
        <v>46208</v>
      </c>
      <c r="B383" t="s">
        <v>670</v>
      </c>
      <c r="C383" t="s">
        <v>346</v>
      </c>
      <c r="D383" t="s">
        <v>26</v>
      </c>
      <c r="E383" t="s">
        <v>33</v>
      </c>
      <c r="F383" t="s">
        <v>34</v>
      </c>
      <c r="G383">
        <v>3</v>
      </c>
      <c r="H383">
        <v>824.77</v>
      </c>
      <c r="I383">
        <v>5</v>
      </c>
      <c r="J383" t="s">
        <v>29</v>
      </c>
      <c r="K383">
        <f>SalesTable[[#This Row],[Quantity]]*SalesTable[[#This Row],[Unit Price]]*(1-SalesTable[[#This Row],[Discount (%)]]/100)</f>
        <v>2350.5944999999997</v>
      </c>
    </row>
    <row r="384" spans="1:11" x14ac:dyDescent="0.25">
      <c r="A384" s="6">
        <v>46086</v>
      </c>
      <c r="B384" t="s">
        <v>672</v>
      </c>
      <c r="C384" t="s">
        <v>397</v>
      </c>
      <c r="D384" t="s">
        <v>41</v>
      </c>
      <c r="E384" t="s">
        <v>14</v>
      </c>
      <c r="F384" t="s">
        <v>76</v>
      </c>
      <c r="G384">
        <v>3</v>
      </c>
      <c r="H384">
        <v>760.3</v>
      </c>
      <c r="I384">
        <v>5</v>
      </c>
      <c r="J384" t="s">
        <v>22</v>
      </c>
      <c r="K384">
        <f>SalesTable[[#This Row],[Quantity]]*SalesTable[[#This Row],[Unit Price]]*(1-SalesTable[[#This Row],[Discount (%)]]/100)</f>
        <v>2166.8549999999996</v>
      </c>
    </row>
    <row r="385" spans="1:11" x14ac:dyDescent="0.25">
      <c r="A385" s="6">
        <v>46189</v>
      </c>
      <c r="B385" t="s">
        <v>673</v>
      </c>
      <c r="C385" t="s">
        <v>124</v>
      </c>
      <c r="D385" t="s">
        <v>20</v>
      </c>
      <c r="E385" t="s">
        <v>33</v>
      </c>
      <c r="F385" t="s">
        <v>82</v>
      </c>
      <c r="G385">
        <v>10</v>
      </c>
      <c r="H385">
        <v>370.49</v>
      </c>
      <c r="I385">
        <v>5</v>
      </c>
      <c r="J385" t="s">
        <v>108</v>
      </c>
      <c r="K385">
        <f>SalesTable[[#This Row],[Quantity]]*SalesTable[[#This Row],[Unit Price]]*(1-SalesTable[[#This Row],[Discount (%)]]/100)</f>
        <v>3519.6549999999997</v>
      </c>
    </row>
    <row r="386" spans="1:11" x14ac:dyDescent="0.25">
      <c r="A386" s="6">
        <v>46117</v>
      </c>
      <c r="B386" t="s">
        <v>674</v>
      </c>
      <c r="C386" t="s">
        <v>210</v>
      </c>
      <c r="D386" t="s">
        <v>41</v>
      </c>
      <c r="E386" t="s">
        <v>62</v>
      </c>
      <c r="F386" t="s">
        <v>79</v>
      </c>
      <c r="G386">
        <v>5</v>
      </c>
      <c r="H386">
        <v>1070.32</v>
      </c>
      <c r="I386">
        <v>15</v>
      </c>
      <c r="J386" t="s">
        <v>16</v>
      </c>
      <c r="K386">
        <f>SalesTable[[#This Row],[Quantity]]*SalesTable[[#This Row],[Unit Price]]*(1-SalesTable[[#This Row],[Discount (%)]]/100)</f>
        <v>4548.8599999999997</v>
      </c>
    </row>
    <row r="387" spans="1:11" x14ac:dyDescent="0.25">
      <c r="A387" s="6">
        <v>46102</v>
      </c>
      <c r="B387" t="s">
        <v>675</v>
      </c>
      <c r="C387" t="s">
        <v>370</v>
      </c>
      <c r="D387" t="s">
        <v>26</v>
      </c>
      <c r="E387" t="s">
        <v>14</v>
      </c>
      <c r="F387" t="s">
        <v>15</v>
      </c>
      <c r="G387">
        <v>5</v>
      </c>
      <c r="H387">
        <v>589.71</v>
      </c>
      <c r="I387">
        <v>0</v>
      </c>
      <c r="J387" t="s">
        <v>108</v>
      </c>
      <c r="K387">
        <f>SalesTable[[#This Row],[Quantity]]*SalesTable[[#This Row],[Unit Price]]*(1-SalesTable[[#This Row],[Discount (%)]]/100)</f>
        <v>2948.55</v>
      </c>
    </row>
    <row r="388" spans="1:11" x14ac:dyDescent="0.25">
      <c r="A388" s="6">
        <v>46032</v>
      </c>
      <c r="B388" t="s">
        <v>676</v>
      </c>
      <c r="C388" t="s">
        <v>37</v>
      </c>
      <c r="D388" t="s">
        <v>20</v>
      </c>
      <c r="E388" t="s">
        <v>14</v>
      </c>
      <c r="F388" t="s">
        <v>76</v>
      </c>
      <c r="G388">
        <v>10</v>
      </c>
      <c r="H388">
        <v>750.34</v>
      </c>
      <c r="I388">
        <v>5</v>
      </c>
      <c r="J388" t="s">
        <v>22</v>
      </c>
      <c r="K388">
        <f>SalesTable[[#This Row],[Quantity]]*SalesTable[[#This Row],[Unit Price]]*(1-SalesTable[[#This Row],[Discount (%)]]/100)</f>
        <v>7128.2300000000005</v>
      </c>
    </row>
    <row r="389" spans="1:11" x14ac:dyDescent="0.25">
      <c r="A389" s="6">
        <v>46057</v>
      </c>
      <c r="B389" t="s">
        <v>677</v>
      </c>
      <c r="C389" t="s">
        <v>101</v>
      </c>
      <c r="D389" t="s">
        <v>13</v>
      </c>
      <c r="E389" t="s">
        <v>27</v>
      </c>
      <c r="F389" t="s">
        <v>42</v>
      </c>
      <c r="G389">
        <v>8</v>
      </c>
      <c r="H389">
        <v>107.48</v>
      </c>
      <c r="I389">
        <v>10</v>
      </c>
      <c r="J389" t="s">
        <v>22</v>
      </c>
      <c r="K389">
        <f>SalesTable[[#This Row],[Quantity]]*SalesTable[[#This Row],[Unit Price]]*(1-SalesTable[[#This Row],[Discount (%)]]/100)</f>
        <v>773.85599999999999</v>
      </c>
    </row>
    <row r="390" spans="1:11" x14ac:dyDescent="0.25">
      <c r="A390" s="6">
        <v>46141</v>
      </c>
      <c r="B390" t="s">
        <v>678</v>
      </c>
      <c r="C390" t="s">
        <v>428</v>
      </c>
      <c r="D390" t="s">
        <v>20</v>
      </c>
      <c r="E390" t="s">
        <v>14</v>
      </c>
      <c r="F390" t="s">
        <v>15</v>
      </c>
      <c r="G390">
        <v>3</v>
      </c>
      <c r="H390">
        <v>785.23</v>
      </c>
      <c r="I390">
        <v>10</v>
      </c>
      <c r="J390" t="s">
        <v>47</v>
      </c>
      <c r="K390">
        <f>SalesTable[[#This Row],[Quantity]]*SalesTable[[#This Row],[Unit Price]]*(1-SalesTable[[#This Row],[Discount (%)]]/100)</f>
        <v>2120.1210000000001</v>
      </c>
    </row>
    <row r="391" spans="1:11" x14ac:dyDescent="0.25">
      <c r="A391" s="6">
        <v>46139</v>
      </c>
      <c r="B391" t="s">
        <v>679</v>
      </c>
      <c r="C391" t="s">
        <v>132</v>
      </c>
      <c r="D391" t="s">
        <v>13</v>
      </c>
      <c r="E391" t="s">
        <v>62</v>
      </c>
      <c r="F391" t="s">
        <v>63</v>
      </c>
      <c r="G391">
        <v>7</v>
      </c>
      <c r="H391">
        <v>461.66</v>
      </c>
      <c r="I391">
        <v>15</v>
      </c>
      <c r="J391" t="s">
        <v>98</v>
      </c>
      <c r="K391">
        <f>SalesTable[[#This Row],[Quantity]]*SalesTable[[#This Row],[Unit Price]]*(1-SalesTable[[#This Row],[Discount (%)]]/100)</f>
        <v>2746.8770000000004</v>
      </c>
    </row>
    <row r="392" spans="1:11" x14ac:dyDescent="0.25">
      <c r="A392" s="6">
        <v>46213</v>
      </c>
      <c r="B392" t="s">
        <v>681</v>
      </c>
      <c r="C392" t="s">
        <v>61</v>
      </c>
      <c r="D392" t="s">
        <v>13</v>
      </c>
      <c r="E392" t="s">
        <v>33</v>
      </c>
      <c r="F392" t="s">
        <v>46</v>
      </c>
      <c r="G392">
        <v>6</v>
      </c>
      <c r="H392">
        <v>410.02</v>
      </c>
      <c r="I392">
        <v>0</v>
      </c>
      <c r="J392" t="s">
        <v>22</v>
      </c>
      <c r="K392">
        <f>SalesTable[[#This Row],[Quantity]]*SalesTable[[#This Row],[Unit Price]]*(1-SalesTable[[#This Row],[Discount (%)]]/100)</f>
        <v>2460.12</v>
      </c>
    </row>
    <row r="393" spans="1:11" x14ac:dyDescent="0.25">
      <c r="A393" s="6">
        <v>46177</v>
      </c>
      <c r="B393" t="s">
        <v>683</v>
      </c>
      <c r="C393" t="s">
        <v>117</v>
      </c>
      <c r="D393" t="s">
        <v>41</v>
      </c>
      <c r="E393" t="s">
        <v>62</v>
      </c>
      <c r="F393" t="s">
        <v>63</v>
      </c>
      <c r="G393">
        <v>1</v>
      </c>
      <c r="H393">
        <v>973.85</v>
      </c>
      <c r="I393">
        <v>0</v>
      </c>
      <c r="J393" t="s">
        <v>47</v>
      </c>
      <c r="K393">
        <f>SalesTable[[#This Row],[Quantity]]*SalesTable[[#This Row],[Unit Price]]*(1-SalesTable[[#This Row],[Discount (%)]]/100)</f>
        <v>973.85</v>
      </c>
    </row>
    <row r="394" spans="1:11" x14ac:dyDescent="0.25">
      <c r="A394" s="6">
        <v>46182</v>
      </c>
      <c r="B394" t="s">
        <v>684</v>
      </c>
      <c r="C394" t="s">
        <v>258</v>
      </c>
      <c r="D394" t="s">
        <v>26</v>
      </c>
      <c r="E394" t="s">
        <v>33</v>
      </c>
      <c r="F394" t="s">
        <v>46</v>
      </c>
      <c r="G394">
        <v>1</v>
      </c>
      <c r="H394">
        <v>96.7</v>
      </c>
      <c r="I394">
        <v>0</v>
      </c>
      <c r="J394" t="s">
        <v>98</v>
      </c>
      <c r="K394">
        <f>SalesTable[[#This Row],[Quantity]]*SalesTable[[#This Row],[Unit Price]]*(1-SalesTable[[#This Row],[Discount (%)]]/100)</f>
        <v>96.7</v>
      </c>
    </row>
    <row r="395" spans="1:11" x14ac:dyDescent="0.25">
      <c r="A395" s="6">
        <v>46124</v>
      </c>
      <c r="B395" t="s">
        <v>685</v>
      </c>
      <c r="C395" t="s">
        <v>422</v>
      </c>
      <c r="D395" t="s">
        <v>20</v>
      </c>
      <c r="E395" t="s">
        <v>27</v>
      </c>
      <c r="F395" t="s">
        <v>28</v>
      </c>
      <c r="G395">
        <v>4</v>
      </c>
      <c r="H395">
        <v>187.37</v>
      </c>
      <c r="I395">
        <v>0</v>
      </c>
      <c r="J395" t="s">
        <v>98</v>
      </c>
      <c r="K395">
        <f>SalesTable[[#This Row],[Quantity]]*SalesTable[[#This Row],[Unit Price]]*(1-SalesTable[[#This Row],[Discount (%)]]/100)</f>
        <v>749.48</v>
      </c>
    </row>
    <row r="396" spans="1:11" x14ac:dyDescent="0.25">
      <c r="A396" s="6">
        <v>46151</v>
      </c>
      <c r="B396" t="s">
        <v>686</v>
      </c>
      <c r="C396" t="s">
        <v>58</v>
      </c>
      <c r="D396" t="s">
        <v>20</v>
      </c>
      <c r="E396" t="s">
        <v>27</v>
      </c>
      <c r="F396" t="s">
        <v>42</v>
      </c>
      <c r="G396">
        <v>9</v>
      </c>
      <c r="H396">
        <v>974.58</v>
      </c>
      <c r="I396">
        <v>15</v>
      </c>
      <c r="J396" t="s">
        <v>98</v>
      </c>
      <c r="K396">
        <f>SalesTable[[#This Row],[Quantity]]*SalesTable[[#This Row],[Unit Price]]*(1-SalesTable[[#This Row],[Discount (%)]]/100)</f>
        <v>7455.5370000000012</v>
      </c>
    </row>
    <row r="397" spans="1:11" x14ac:dyDescent="0.25">
      <c r="A397" s="6">
        <v>46174</v>
      </c>
      <c r="B397" t="s">
        <v>687</v>
      </c>
      <c r="C397" t="s">
        <v>275</v>
      </c>
      <c r="D397" t="s">
        <v>41</v>
      </c>
      <c r="E397" t="s">
        <v>62</v>
      </c>
      <c r="F397" t="s">
        <v>73</v>
      </c>
      <c r="G397">
        <v>4</v>
      </c>
      <c r="H397">
        <v>406.06</v>
      </c>
      <c r="I397">
        <v>0</v>
      </c>
      <c r="J397" t="s">
        <v>16</v>
      </c>
      <c r="K397">
        <f>SalesTable[[#This Row],[Quantity]]*SalesTable[[#This Row],[Unit Price]]*(1-SalesTable[[#This Row],[Discount (%)]]/100)</f>
        <v>1624.24</v>
      </c>
    </row>
    <row r="398" spans="1:11" x14ac:dyDescent="0.25">
      <c r="A398" s="6">
        <v>46141</v>
      </c>
      <c r="B398" t="s">
        <v>688</v>
      </c>
      <c r="C398" t="s">
        <v>37</v>
      </c>
      <c r="D398" t="s">
        <v>26</v>
      </c>
      <c r="E398" t="s">
        <v>33</v>
      </c>
      <c r="F398" t="s">
        <v>82</v>
      </c>
      <c r="G398">
        <v>4</v>
      </c>
      <c r="H398">
        <v>446.82</v>
      </c>
      <c r="I398">
        <v>5</v>
      </c>
      <c r="J398" t="s">
        <v>98</v>
      </c>
      <c r="K398">
        <f>SalesTable[[#This Row],[Quantity]]*SalesTable[[#This Row],[Unit Price]]*(1-SalesTable[[#This Row],[Discount (%)]]/100)</f>
        <v>1697.9159999999999</v>
      </c>
    </row>
    <row r="399" spans="1:11" x14ac:dyDescent="0.25">
      <c r="A399" s="6">
        <v>46202</v>
      </c>
      <c r="B399" t="s">
        <v>689</v>
      </c>
      <c r="C399" t="s">
        <v>251</v>
      </c>
      <c r="D399" t="s">
        <v>26</v>
      </c>
      <c r="E399" t="s">
        <v>27</v>
      </c>
      <c r="F399" t="s">
        <v>51</v>
      </c>
      <c r="G399">
        <v>2</v>
      </c>
      <c r="H399">
        <v>163.71</v>
      </c>
      <c r="I399">
        <v>10</v>
      </c>
      <c r="J399" t="s">
        <v>16</v>
      </c>
      <c r="K399">
        <f>SalesTable[[#This Row],[Quantity]]*SalesTable[[#This Row],[Unit Price]]*(1-SalesTable[[#This Row],[Discount (%)]]/100)</f>
        <v>294.678</v>
      </c>
    </row>
    <row r="400" spans="1:11" x14ac:dyDescent="0.25">
      <c r="A400" s="6">
        <v>46043</v>
      </c>
      <c r="B400" t="s">
        <v>690</v>
      </c>
      <c r="C400" t="s">
        <v>132</v>
      </c>
      <c r="D400" t="s">
        <v>26</v>
      </c>
      <c r="E400" t="s">
        <v>33</v>
      </c>
      <c r="F400" t="s">
        <v>82</v>
      </c>
      <c r="G400">
        <v>3</v>
      </c>
      <c r="H400">
        <v>821.3</v>
      </c>
      <c r="I400">
        <v>5</v>
      </c>
      <c r="J400" t="s">
        <v>29</v>
      </c>
      <c r="K400">
        <f>SalesTable[[#This Row],[Quantity]]*SalesTable[[#This Row],[Unit Price]]*(1-SalesTable[[#This Row],[Discount (%)]]/100)</f>
        <v>2340.7049999999995</v>
      </c>
    </row>
    <row r="401" spans="1:11" x14ac:dyDescent="0.25">
      <c r="A401" s="6">
        <v>46200</v>
      </c>
      <c r="B401" t="s">
        <v>691</v>
      </c>
      <c r="C401" t="s">
        <v>258</v>
      </c>
      <c r="D401" t="s">
        <v>41</v>
      </c>
      <c r="E401" t="s">
        <v>62</v>
      </c>
      <c r="F401" t="s">
        <v>63</v>
      </c>
      <c r="G401">
        <v>1</v>
      </c>
      <c r="H401">
        <v>782.47</v>
      </c>
      <c r="I401">
        <v>15</v>
      </c>
      <c r="J401" t="s">
        <v>98</v>
      </c>
      <c r="K401">
        <f>SalesTable[[#This Row],[Quantity]]*SalesTable[[#This Row],[Unit Price]]*(1-SalesTable[[#This Row],[Discount (%)]]/100)</f>
        <v>665.09950000000003</v>
      </c>
    </row>
    <row r="402" spans="1:11" x14ac:dyDescent="0.25">
      <c r="A402" s="6">
        <v>46111</v>
      </c>
      <c r="B402" t="s">
        <v>692</v>
      </c>
      <c r="C402" t="s">
        <v>168</v>
      </c>
      <c r="D402" t="s">
        <v>41</v>
      </c>
      <c r="E402" t="s">
        <v>14</v>
      </c>
      <c r="F402" t="s">
        <v>76</v>
      </c>
      <c r="G402">
        <v>5</v>
      </c>
      <c r="H402">
        <v>697.16</v>
      </c>
      <c r="I402">
        <v>5</v>
      </c>
      <c r="J402" t="s">
        <v>108</v>
      </c>
      <c r="K402">
        <f>SalesTable[[#This Row],[Quantity]]*SalesTable[[#This Row],[Unit Price]]*(1-SalesTable[[#This Row],[Discount (%)]]/100)</f>
        <v>3311.5099999999998</v>
      </c>
    </row>
    <row r="403" spans="1:11" x14ac:dyDescent="0.25">
      <c r="A403" s="6">
        <v>46159</v>
      </c>
      <c r="B403" t="s">
        <v>694</v>
      </c>
      <c r="C403" t="s">
        <v>279</v>
      </c>
      <c r="D403" t="s">
        <v>41</v>
      </c>
      <c r="E403" t="s">
        <v>27</v>
      </c>
      <c r="F403" t="s">
        <v>28</v>
      </c>
      <c r="G403">
        <v>5</v>
      </c>
      <c r="H403">
        <v>1110.71</v>
      </c>
      <c r="I403">
        <v>10</v>
      </c>
      <c r="J403" t="s">
        <v>108</v>
      </c>
      <c r="K403">
        <f>SalesTable[[#This Row],[Quantity]]*SalesTable[[#This Row],[Unit Price]]*(1-SalesTable[[#This Row],[Discount (%)]]/100)</f>
        <v>4998.1950000000006</v>
      </c>
    </row>
    <row r="404" spans="1:11" x14ac:dyDescent="0.25">
      <c r="A404" s="6">
        <v>46207</v>
      </c>
      <c r="B404" t="s">
        <v>695</v>
      </c>
      <c r="C404" t="s">
        <v>45</v>
      </c>
      <c r="D404" t="s">
        <v>26</v>
      </c>
      <c r="E404" t="s">
        <v>62</v>
      </c>
      <c r="F404" t="s">
        <v>92</v>
      </c>
      <c r="G404">
        <v>10</v>
      </c>
      <c r="H404">
        <v>1079.32</v>
      </c>
      <c r="I404">
        <v>0</v>
      </c>
      <c r="J404" t="s">
        <v>98</v>
      </c>
      <c r="K404">
        <f>SalesTable[[#This Row],[Quantity]]*SalesTable[[#This Row],[Unit Price]]*(1-SalesTable[[#This Row],[Discount (%)]]/100)</f>
        <v>10793.199999999999</v>
      </c>
    </row>
    <row r="405" spans="1:11" x14ac:dyDescent="0.25">
      <c r="A405" s="6">
        <v>46125</v>
      </c>
      <c r="B405" t="s">
        <v>696</v>
      </c>
      <c r="C405" t="s">
        <v>428</v>
      </c>
      <c r="D405" t="s">
        <v>26</v>
      </c>
      <c r="E405" t="s">
        <v>14</v>
      </c>
      <c r="F405" t="s">
        <v>76</v>
      </c>
      <c r="G405">
        <v>5</v>
      </c>
      <c r="H405">
        <v>774.79</v>
      </c>
      <c r="I405">
        <v>0</v>
      </c>
      <c r="J405" t="s">
        <v>16</v>
      </c>
      <c r="K405">
        <f>SalesTable[[#This Row],[Quantity]]*SalesTable[[#This Row],[Unit Price]]*(1-SalesTable[[#This Row],[Discount (%)]]/100)</f>
        <v>3873.95</v>
      </c>
    </row>
    <row r="406" spans="1:11" x14ac:dyDescent="0.25">
      <c r="A406" s="6">
        <v>46225</v>
      </c>
      <c r="B406" t="s">
        <v>697</v>
      </c>
      <c r="C406" t="s">
        <v>275</v>
      </c>
      <c r="D406" t="s">
        <v>13</v>
      </c>
      <c r="E406" t="s">
        <v>27</v>
      </c>
      <c r="F406" t="s">
        <v>51</v>
      </c>
      <c r="G406">
        <v>5</v>
      </c>
      <c r="H406">
        <v>176.53</v>
      </c>
      <c r="I406">
        <v>5</v>
      </c>
      <c r="J406" t="s">
        <v>22</v>
      </c>
      <c r="K406">
        <f>SalesTable[[#This Row],[Quantity]]*SalesTable[[#This Row],[Unit Price]]*(1-SalesTable[[#This Row],[Discount (%)]]/100)</f>
        <v>838.51749999999993</v>
      </c>
    </row>
    <row r="407" spans="1:11" x14ac:dyDescent="0.25">
      <c r="A407" s="6">
        <v>46221</v>
      </c>
      <c r="B407" t="s">
        <v>698</v>
      </c>
      <c r="C407" t="s">
        <v>37</v>
      </c>
      <c r="D407" t="s">
        <v>41</v>
      </c>
      <c r="E407" t="s">
        <v>62</v>
      </c>
      <c r="F407" t="s">
        <v>79</v>
      </c>
      <c r="G407">
        <v>6</v>
      </c>
      <c r="H407">
        <v>714.04</v>
      </c>
      <c r="I407">
        <v>0</v>
      </c>
      <c r="J407" t="s">
        <v>47</v>
      </c>
      <c r="K407">
        <f>SalesTable[[#This Row],[Quantity]]*SalesTable[[#This Row],[Unit Price]]*(1-SalesTable[[#This Row],[Discount (%)]]/100)</f>
        <v>4284.24</v>
      </c>
    </row>
    <row r="408" spans="1:11" x14ac:dyDescent="0.25">
      <c r="A408" s="6">
        <v>46139</v>
      </c>
      <c r="B408" t="s">
        <v>699</v>
      </c>
      <c r="C408" t="s">
        <v>239</v>
      </c>
      <c r="D408" t="s">
        <v>13</v>
      </c>
      <c r="E408" t="s">
        <v>33</v>
      </c>
      <c r="F408" t="s">
        <v>34</v>
      </c>
      <c r="G408">
        <v>2</v>
      </c>
      <c r="H408">
        <v>410.39</v>
      </c>
      <c r="I408">
        <v>0</v>
      </c>
      <c r="J408" t="s">
        <v>108</v>
      </c>
      <c r="K408">
        <f>SalesTable[[#This Row],[Quantity]]*SalesTable[[#This Row],[Unit Price]]*(1-SalesTable[[#This Row],[Discount (%)]]/100)</f>
        <v>820.78</v>
      </c>
    </row>
    <row r="409" spans="1:11" x14ac:dyDescent="0.25">
      <c r="A409" s="6">
        <v>46035</v>
      </c>
      <c r="B409" t="s">
        <v>700</v>
      </c>
      <c r="C409" t="s">
        <v>251</v>
      </c>
      <c r="D409" t="s">
        <v>13</v>
      </c>
      <c r="E409" t="s">
        <v>33</v>
      </c>
      <c r="F409" t="s">
        <v>46</v>
      </c>
      <c r="G409">
        <v>10</v>
      </c>
      <c r="H409">
        <v>376.78</v>
      </c>
      <c r="I409">
        <v>5</v>
      </c>
      <c r="J409" t="s">
        <v>108</v>
      </c>
      <c r="K409">
        <f>SalesTable[[#This Row],[Quantity]]*SalesTable[[#This Row],[Unit Price]]*(1-SalesTable[[#This Row],[Discount (%)]]/100)</f>
        <v>3579.4099999999994</v>
      </c>
    </row>
    <row r="410" spans="1:11" x14ac:dyDescent="0.25">
      <c r="A410" s="6">
        <v>46069</v>
      </c>
      <c r="B410" t="s">
        <v>701</v>
      </c>
      <c r="C410" t="s">
        <v>25</v>
      </c>
      <c r="D410" t="s">
        <v>13</v>
      </c>
      <c r="E410" t="s">
        <v>14</v>
      </c>
      <c r="F410" t="s">
        <v>76</v>
      </c>
      <c r="G410">
        <v>6</v>
      </c>
      <c r="H410">
        <v>661.51</v>
      </c>
      <c r="I410">
        <v>10</v>
      </c>
      <c r="J410" t="s">
        <v>16</v>
      </c>
      <c r="K410">
        <f>SalesTable[[#This Row],[Quantity]]*SalesTable[[#This Row],[Unit Price]]*(1-SalesTable[[#This Row],[Discount (%)]]/100)</f>
        <v>3572.154</v>
      </c>
    </row>
    <row r="411" spans="1:11" x14ac:dyDescent="0.25">
      <c r="A411" s="6">
        <v>46170</v>
      </c>
      <c r="B411" t="s">
        <v>702</v>
      </c>
      <c r="C411" t="s">
        <v>386</v>
      </c>
      <c r="D411" t="s">
        <v>20</v>
      </c>
      <c r="E411" t="s">
        <v>33</v>
      </c>
      <c r="F411" t="s">
        <v>82</v>
      </c>
      <c r="G411">
        <v>5</v>
      </c>
      <c r="H411">
        <v>592.24</v>
      </c>
      <c r="I411">
        <v>5</v>
      </c>
      <c r="J411" t="s">
        <v>16</v>
      </c>
      <c r="K411">
        <f>SalesTable[[#This Row],[Quantity]]*SalesTable[[#This Row],[Unit Price]]*(1-SalesTable[[#This Row],[Discount (%)]]/100)</f>
        <v>2813.14</v>
      </c>
    </row>
    <row r="412" spans="1:11" x14ac:dyDescent="0.25">
      <c r="A412" s="6">
        <v>46229</v>
      </c>
      <c r="B412" t="s">
        <v>703</v>
      </c>
      <c r="C412" t="s">
        <v>254</v>
      </c>
      <c r="D412" t="s">
        <v>13</v>
      </c>
      <c r="E412" t="s">
        <v>62</v>
      </c>
      <c r="F412" t="s">
        <v>79</v>
      </c>
      <c r="G412">
        <v>2</v>
      </c>
      <c r="H412">
        <v>940.25</v>
      </c>
      <c r="I412">
        <v>0</v>
      </c>
      <c r="J412" t="s">
        <v>98</v>
      </c>
      <c r="K412">
        <f>SalesTable[[#This Row],[Quantity]]*SalesTable[[#This Row],[Unit Price]]*(1-SalesTable[[#This Row],[Discount (%)]]/100)</f>
        <v>1880.5</v>
      </c>
    </row>
    <row r="413" spans="1:11" x14ac:dyDescent="0.25">
      <c r="A413" s="6">
        <v>46057</v>
      </c>
      <c r="B413" t="s">
        <v>704</v>
      </c>
      <c r="C413" t="s">
        <v>397</v>
      </c>
      <c r="D413" t="s">
        <v>20</v>
      </c>
      <c r="E413" t="s">
        <v>33</v>
      </c>
      <c r="F413" t="s">
        <v>46</v>
      </c>
      <c r="G413">
        <v>1</v>
      </c>
      <c r="H413">
        <v>29.62</v>
      </c>
      <c r="I413">
        <v>5</v>
      </c>
      <c r="J413" t="s">
        <v>29</v>
      </c>
      <c r="K413">
        <f>SalesTable[[#This Row],[Quantity]]*SalesTable[[#This Row],[Unit Price]]*(1-SalesTable[[#This Row],[Discount (%)]]/100)</f>
        <v>28.138999999999999</v>
      </c>
    </row>
    <row r="414" spans="1:11" x14ac:dyDescent="0.25">
      <c r="A414" s="6">
        <v>46034</v>
      </c>
      <c r="B414" t="s">
        <v>705</v>
      </c>
      <c r="C414" t="s">
        <v>503</v>
      </c>
      <c r="D414" t="s">
        <v>13</v>
      </c>
      <c r="E414" t="s">
        <v>33</v>
      </c>
      <c r="F414" t="s">
        <v>34</v>
      </c>
      <c r="G414">
        <v>10</v>
      </c>
      <c r="H414">
        <v>852.41</v>
      </c>
      <c r="I414">
        <v>15</v>
      </c>
      <c r="J414" t="s">
        <v>29</v>
      </c>
      <c r="K414">
        <f>SalesTable[[#This Row],[Quantity]]*SalesTable[[#This Row],[Unit Price]]*(1-SalesTable[[#This Row],[Discount (%)]]/100)</f>
        <v>7245.4849999999997</v>
      </c>
    </row>
    <row r="415" spans="1:11" x14ac:dyDescent="0.25">
      <c r="A415" s="6">
        <v>46229</v>
      </c>
      <c r="B415" t="s">
        <v>706</v>
      </c>
      <c r="C415" t="s">
        <v>142</v>
      </c>
      <c r="D415" t="s">
        <v>13</v>
      </c>
      <c r="E415" t="s">
        <v>62</v>
      </c>
      <c r="F415" t="s">
        <v>73</v>
      </c>
      <c r="G415">
        <v>8</v>
      </c>
      <c r="H415">
        <v>1123</v>
      </c>
      <c r="I415">
        <v>5</v>
      </c>
      <c r="J415" t="s">
        <v>16</v>
      </c>
      <c r="K415">
        <f>SalesTable[[#This Row],[Quantity]]*SalesTable[[#This Row],[Unit Price]]*(1-SalesTable[[#This Row],[Discount (%)]]/100)</f>
        <v>8534.7999999999993</v>
      </c>
    </row>
    <row r="416" spans="1:11" x14ac:dyDescent="0.25">
      <c r="A416" s="6">
        <v>46219</v>
      </c>
      <c r="B416" t="s">
        <v>707</v>
      </c>
      <c r="C416" t="s">
        <v>145</v>
      </c>
      <c r="D416" t="s">
        <v>13</v>
      </c>
      <c r="E416" t="s">
        <v>33</v>
      </c>
      <c r="F416" t="s">
        <v>82</v>
      </c>
      <c r="G416">
        <v>7</v>
      </c>
      <c r="H416">
        <v>468.77</v>
      </c>
      <c r="I416">
        <v>10</v>
      </c>
      <c r="J416" t="s">
        <v>29</v>
      </c>
      <c r="K416">
        <f>SalesTable[[#This Row],[Quantity]]*SalesTable[[#This Row],[Unit Price]]*(1-SalesTable[[#This Row],[Discount (%)]]/100)</f>
        <v>2953.2509999999997</v>
      </c>
    </row>
    <row r="417" spans="1:11" x14ac:dyDescent="0.25">
      <c r="A417" s="6">
        <v>46205</v>
      </c>
      <c r="B417" t="s">
        <v>708</v>
      </c>
      <c r="C417" t="s">
        <v>170</v>
      </c>
      <c r="D417" t="s">
        <v>13</v>
      </c>
      <c r="E417" t="s">
        <v>62</v>
      </c>
      <c r="F417" t="s">
        <v>92</v>
      </c>
      <c r="G417">
        <v>5</v>
      </c>
      <c r="H417">
        <v>689.76</v>
      </c>
      <c r="I417">
        <v>10</v>
      </c>
      <c r="J417" t="s">
        <v>98</v>
      </c>
      <c r="K417">
        <f>SalesTable[[#This Row],[Quantity]]*SalesTable[[#This Row],[Unit Price]]*(1-SalesTable[[#This Row],[Discount (%)]]/100)</f>
        <v>3103.92</v>
      </c>
    </row>
    <row r="418" spans="1:11" x14ac:dyDescent="0.25">
      <c r="A418" s="6">
        <v>46198</v>
      </c>
      <c r="B418" t="s">
        <v>709</v>
      </c>
      <c r="C418" t="s">
        <v>104</v>
      </c>
      <c r="D418" t="s">
        <v>41</v>
      </c>
      <c r="E418" t="s">
        <v>62</v>
      </c>
      <c r="F418" t="s">
        <v>92</v>
      </c>
      <c r="G418">
        <v>10</v>
      </c>
      <c r="H418">
        <v>251.25</v>
      </c>
      <c r="I418">
        <v>10</v>
      </c>
      <c r="J418" t="s">
        <v>47</v>
      </c>
      <c r="K418">
        <f>SalesTable[[#This Row],[Quantity]]*SalesTable[[#This Row],[Unit Price]]*(1-SalesTable[[#This Row],[Discount (%)]]/100)</f>
        <v>2261.25</v>
      </c>
    </row>
    <row r="419" spans="1:11" x14ac:dyDescent="0.25">
      <c r="A419" s="6">
        <v>46074</v>
      </c>
      <c r="B419" t="s">
        <v>710</v>
      </c>
      <c r="C419" t="s">
        <v>289</v>
      </c>
      <c r="D419" t="s">
        <v>13</v>
      </c>
      <c r="E419" t="s">
        <v>14</v>
      </c>
      <c r="F419" t="s">
        <v>76</v>
      </c>
      <c r="G419">
        <v>10</v>
      </c>
      <c r="H419">
        <v>500.96</v>
      </c>
      <c r="I419">
        <v>5</v>
      </c>
      <c r="J419" t="s">
        <v>16</v>
      </c>
      <c r="K419">
        <f>SalesTable[[#This Row],[Quantity]]*SalesTable[[#This Row],[Unit Price]]*(1-SalesTable[[#This Row],[Discount (%)]]/100)</f>
        <v>4759.119999999999</v>
      </c>
    </row>
    <row r="420" spans="1:11" x14ac:dyDescent="0.25">
      <c r="A420" s="6">
        <v>46062</v>
      </c>
      <c r="B420" t="s">
        <v>711</v>
      </c>
      <c r="C420" t="s">
        <v>88</v>
      </c>
      <c r="D420" t="s">
        <v>13</v>
      </c>
      <c r="E420" t="s">
        <v>14</v>
      </c>
      <c r="F420" t="s">
        <v>21</v>
      </c>
      <c r="G420">
        <v>3</v>
      </c>
      <c r="H420">
        <v>574.25</v>
      </c>
      <c r="I420">
        <v>15</v>
      </c>
      <c r="J420" t="s">
        <v>22</v>
      </c>
      <c r="K420">
        <f>SalesTable[[#This Row],[Quantity]]*SalesTable[[#This Row],[Unit Price]]*(1-SalesTable[[#This Row],[Discount (%)]]/100)</f>
        <v>1464.3374999999999</v>
      </c>
    </row>
    <row r="421" spans="1:11" x14ac:dyDescent="0.25">
      <c r="A421" s="6">
        <v>46156</v>
      </c>
      <c r="B421" t="s">
        <v>712</v>
      </c>
      <c r="C421" t="s">
        <v>145</v>
      </c>
      <c r="D421" t="s">
        <v>41</v>
      </c>
      <c r="E421" t="s">
        <v>62</v>
      </c>
      <c r="F421" t="s">
        <v>73</v>
      </c>
      <c r="G421">
        <v>3</v>
      </c>
      <c r="H421">
        <v>109.83</v>
      </c>
      <c r="I421">
        <v>10</v>
      </c>
      <c r="J421" t="s">
        <v>47</v>
      </c>
      <c r="K421">
        <f>SalesTable[[#This Row],[Quantity]]*SalesTable[[#This Row],[Unit Price]]*(1-SalesTable[[#This Row],[Discount (%)]]/100)</f>
        <v>296.541</v>
      </c>
    </row>
    <row r="422" spans="1:11" x14ac:dyDescent="0.25">
      <c r="A422" s="6">
        <v>46100</v>
      </c>
      <c r="B422" t="s">
        <v>713</v>
      </c>
      <c r="C422" t="s">
        <v>318</v>
      </c>
      <c r="D422" t="s">
        <v>26</v>
      </c>
      <c r="E422" t="s">
        <v>62</v>
      </c>
      <c r="F422" t="s">
        <v>73</v>
      </c>
      <c r="G422">
        <v>10</v>
      </c>
      <c r="H422">
        <v>616.21</v>
      </c>
      <c r="I422">
        <v>10</v>
      </c>
      <c r="J422" t="s">
        <v>108</v>
      </c>
      <c r="K422">
        <f>SalesTable[[#This Row],[Quantity]]*SalesTable[[#This Row],[Unit Price]]*(1-SalesTable[[#This Row],[Discount (%)]]/100)</f>
        <v>5545.89</v>
      </c>
    </row>
    <row r="423" spans="1:11" x14ac:dyDescent="0.25">
      <c r="A423" s="6">
        <v>46188</v>
      </c>
      <c r="B423" t="s">
        <v>714</v>
      </c>
      <c r="C423" t="s">
        <v>158</v>
      </c>
      <c r="D423" t="s">
        <v>41</v>
      </c>
      <c r="E423" t="s">
        <v>27</v>
      </c>
      <c r="F423" t="s">
        <v>42</v>
      </c>
      <c r="G423">
        <v>4</v>
      </c>
      <c r="H423">
        <v>898</v>
      </c>
      <c r="I423">
        <v>0</v>
      </c>
      <c r="J423" t="s">
        <v>29</v>
      </c>
      <c r="K423">
        <f>SalesTable[[#This Row],[Quantity]]*SalesTable[[#This Row],[Unit Price]]*(1-SalesTable[[#This Row],[Discount (%)]]/100)</f>
        <v>3592</v>
      </c>
    </row>
    <row r="424" spans="1:11" x14ac:dyDescent="0.25">
      <c r="A424" s="6">
        <v>46094</v>
      </c>
      <c r="B424" t="s">
        <v>715</v>
      </c>
      <c r="C424" t="s">
        <v>239</v>
      </c>
      <c r="D424" t="s">
        <v>20</v>
      </c>
      <c r="E424" t="s">
        <v>14</v>
      </c>
      <c r="F424" t="s">
        <v>15</v>
      </c>
      <c r="G424">
        <v>4</v>
      </c>
      <c r="H424">
        <v>70.5</v>
      </c>
      <c r="I424">
        <v>10</v>
      </c>
      <c r="J424" t="s">
        <v>16</v>
      </c>
      <c r="K424">
        <f>SalesTable[[#This Row],[Quantity]]*SalesTable[[#This Row],[Unit Price]]*(1-SalesTable[[#This Row],[Discount (%)]]/100)</f>
        <v>253.8</v>
      </c>
    </row>
    <row r="425" spans="1:11" x14ac:dyDescent="0.25">
      <c r="A425" s="6">
        <v>46191</v>
      </c>
      <c r="B425" t="s">
        <v>716</v>
      </c>
      <c r="C425" t="s">
        <v>170</v>
      </c>
      <c r="D425" t="s">
        <v>20</v>
      </c>
      <c r="E425" t="s">
        <v>14</v>
      </c>
      <c r="F425" t="s">
        <v>76</v>
      </c>
      <c r="G425">
        <v>6</v>
      </c>
      <c r="H425">
        <v>77.760000000000005</v>
      </c>
      <c r="I425">
        <v>15</v>
      </c>
      <c r="J425" t="s">
        <v>22</v>
      </c>
      <c r="K425">
        <f>SalesTable[[#This Row],[Quantity]]*SalesTable[[#This Row],[Unit Price]]*(1-SalesTable[[#This Row],[Discount (%)]]/100)</f>
        <v>396.57600000000002</v>
      </c>
    </row>
    <row r="426" spans="1:11" x14ac:dyDescent="0.25">
      <c r="A426" s="6">
        <v>46116</v>
      </c>
      <c r="B426" t="s">
        <v>717</v>
      </c>
      <c r="C426" t="s">
        <v>457</v>
      </c>
      <c r="D426" t="s">
        <v>13</v>
      </c>
      <c r="E426" t="s">
        <v>62</v>
      </c>
      <c r="F426" t="s">
        <v>79</v>
      </c>
      <c r="G426">
        <v>1</v>
      </c>
      <c r="H426">
        <v>439.88</v>
      </c>
      <c r="I426">
        <v>5</v>
      </c>
      <c r="J426" t="s">
        <v>108</v>
      </c>
      <c r="K426">
        <f>SalesTable[[#This Row],[Quantity]]*SalesTable[[#This Row],[Unit Price]]*(1-SalesTable[[#This Row],[Discount (%)]]/100)</f>
        <v>417.88599999999997</v>
      </c>
    </row>
    <row r="427" spans="1:11" x14ac:dyDescent="0.25">
      <c r="A427" s="6">
        <v>46099</v>
      </c>
      <c r="B427" t="s">
        <v>718</v>
      </c>
      <c r="C427" t="s">
        <v>69</v>
      </c>
      <c r="D427" t="s">
        <v>13</v>
      </c>
      <c r="E427" t="s">
        <v>14</v>
      </c>
      <c r="F427" t="s">
        <v>15</v>
      </c>
      <c r="G427">
        <v>7</v>
      </c>
      <c r="H427">
        <v>979.79</v>
      </c>
      <c r="I427">
        <v>10</v>
      </c>
      <c r="J427" t="s">
        <v>29</v>
      </c>
      <c r="K427">
        <f>SalesTable[[#This Row],[Quantity]]*SalesTable[[#This Row],[Unit Price]]*(1-SalesTable[[#This Row],[Discount (%)]]/100)</f>
        <v>6172.6769999999997</v>
      </c>
    </row>
    <row r="428" spans="1:11" x14ac:dyDescent="0.25">
      <c r="A428" s="6">
        <v>46133</v>
      </c>
      <c r="B428" t="s">
        <v>719</v>
      </c>
      <c r="C428" t="s">
        <v>236</v>
      </c>
      <c r="D428" t="s">
        <v>20</v>
      </c>
      <c r="E428" t="s">
        <v>14</v>
      </c>
      <c r="F428" t="s">
        <v>21</v>
      </c>
      <c r="G428">
        <v>7</v>
      </c>
      <c r="H428">
        <v>376.46</v>
      </c>
      <c r="I428">
        <v>5</v>
      </c>
      <c r="J428" t="s">
        <v>98</v>
      </c>
      <c r="K428">
        <f>SalesTable[[#This Row],[Quantity]]*SalesTable[[#This Row],[Unit Price]]*(1-SalesTable[[#This Row],[Discount (%)]]/100)</f>
        <v>2503.4589999999998</v>
      </c>
    </row>
    <row r="429" spans="1:11" x14ac:dyDescent="0.25">
      <c r="A429" s="6">
        <v>46114</v>
      </c>
      <c r="B429" t="s">
        <v>720</v>
      </c>
      <c r="C429" t="s">
        <v>75</v>
      </c>
      <c r="D429" t="s">
        <v>20</v>
      </c>
      <c r="E429" t="s">
        <v>27</v>
      </c>
      <c r="F429" t="s">
        <v>51</v>
      </c>
      <c r="G429">
        <v>7</v>
      </c>
      <c r="H429">
        <v>964.78</v>
      </c>
      <c r="I429">
        <v>0</v>
      </c>
      <c r="J429" t="s">
        <v>22</v>
      </c>
      <c r="K429">
        <f>SalesTable[[#This Row],[Quantity]]*SalesTable[[#This Row],[Unit Price]]*(1-SalesTable[[#This Row],[Discount (%)]]/100)</f>
        <v>6753.46</v>
      </c>
    </row>
    <row r="430" spans="1:11" x14ac:dyDescent="0.25">
      <c r="A430" s="6">
        <v>46165</v>
      </c>
      <c r="B430" t="s">
        <v>721</v>
      </c>
      <c r="C430" t="s">
        <v>12</v>
      </c>
      <c r="D430" t="s">
        <v>26</v>
      </c>
      <c r="E430" t="s">
        <v>14</v>
      </c>
      <c r="F430" t="s">
        <v>21</v>
      </c>
      <c r="G430">
        <v>6</v>
      </c>
      <c r="H430">
        <v>271.23</v>
      </c>
      <c r="I430">
        <v>0</v>
      </c>
      <c r="J430" t="s">
        <v>29</v>
      </c>
      <c r="K430">
        <f>SalesTable[[#This Row],[Quantity]]*SalesTable[[#This Row],[Unit Price]]*(1-SalesTable[[#This Row],[Discount (%)]]/100)</f>
        <v>1627.38</v>
      </c>
    </row>
    <row r="431" spans="1:11" x14ac:dyDescent="0.25">
      <c r="A431" s="6">
        <v>46153</v>
      </c>
      <c r="B431" t="s">
        <v>723</v>
      </c>
      <c r="C431" t="s">
        <v>503</v>
      </c>
      <c r="D431" t="s">
        <v>26</v>
      </c>
      <c r="E431" t="s">
        <v>62</v>
      </c>
      <c r="F431" t="s">
        <v>79</v>
      </c>
      <c r="G431">
        <v>3</v>
      </c>
      <c r="H431">
        <v>1192.1099999999999</v>
      </c>
      <c r="I431">
        <v>15</v>
      </c>
      <c r="J431" t="s">
        <v>22</v>
      </c>
      <c r="K431">
        <f>SalesTable[[#This Row],[Quantity]]*SalesTable[[#This Row],[Unit Price]]*(1-SalesTable[[#This Row],[Discount (%)]]/100)</f>
        <v>3039.8804999999998</v>
      </c>
    </row>
    <row r="432" spans="1:11" x14ac:dyDescent="0.25">
      <c r="A432" s="6">
        <v>46194</v>
      </c>
      <c r="B432" t="s">
        <v>724</v>
      </c>
      <c r="C432" t="s">
        <v>117</v>
      </c>
      <c r="D432" t="s">
        <v>26</v>
      </c>
      <c r="E432" t="s">
        <v>14</v>
      </c>
      <c r="F432" t="s">
        <v>21</v>
      </c>
      <c r="G432">
        <v>2</v>
      </c>
      <c r="H432">
        <v>689.54</v>
      </c>
      <c r="I432">
        <v>5</v>
      </c>
      <c r="J432" t="s">
        <v>16</v>
      </c>
      <c r="K432">
        <f>SalesTable[[#This Row],[Quantity]]*SalesTable[[#This Row],[Unit Price]]*(1-SalesTable[[#This Row],[Discount (%)]]/100)</f>
        <v>1310.126</v>
      </c>
    </row>
    <row r="433" spans="1:11" x14ac:dyDescent="0.25">
      <c r="A433" s="6">
        <v>46206</v>
      </c>
      <c r="B433" t="s">
        <v>725</v>
      </c>
      <c r="C433" t="s">
        <v>117</v>
      </c>
      <c r="D433" t="s">
        <v>26</v>
      </c>
      <c r="E433" t="s">
        <v>27</v>
      </c>
      <c r="F433" t="s">
        <v>28</v>
      </c>
      <c r="G433">
        <v>4</v>
      </c>
      <c r="H433">
        <v>1082.9000000000001</v>
      </c>
      <c r="I433">
        <v>15</v>
      </c>
      <c r="J433" t="s">
        <v>22</v>
      </c>
      <c r="K433">
        <f>SalesTable[[#This Row],[Quantity]]*SalesTable[[#This Row],[Unit Price]]*(1-SalesTable[[#This Row],[Discount (%)]]/100)</f>
        <v>3681.86</v>
      </c>
    </row>
    <row r="434" spans="1:11" x14ac:dyDescent="0.25">
      <c r="A434" s="6">
        <v>46141</v>
      </c>
      <c r="B434" t="s">
        <v>726</v>
      </c>
      <c r="C434" t="s">
        <v>192</v>
      </c>
      <c r="D434" t="s">
        <v>20</v>
      </c>
      <c r="E434" t="s">
        <v>14</v>
      </c>
      <c r="F434" t="s">
        <v>76</v>
      </c>
      <c r="G434">
        <v>2</v>
      </c>
      <c r="H434">
        <v>1073.17</v>
      </c>
      <c r="I434">
        <v>5</v>
      </c>
      <c r="J434" t="s">
        <v>22</v>
      </c>
      <c r="K434">
        <f>SalesTable[[#This Row],[Quantity]]*SalesTable[[#This Row],[Unit Price]]*(1-SalesTable[[#This Row],[Discount (%)]]/100)</f>
        <v>2039.0230000000001</v>
      </c>
    </row>
    <row r="435" spans="1:11" x14ac:dyDescent="0.25">
      <c r="A435" s="6">
        <v>46096</v>
      </c>
      <c r="B435" t="s">
        <v>727</v>
      </c>
      <c r="C435" t="s">
        <v>269</v>
      </c>
      <c r="D435" t="s">
        <v>20</v>
      </c>
      <c r="E435" t="s">
        <v>27</v>
      </c>
      <c r="F435" t="s">
        <v>42</v>
      </c>
      <c r="G435">
        <v>5</v>
      </c>
      <c r="H435">
        <v>554.66999999999996</v>
      </c>
      <c r="I435">
        <v>15</v>
      </c>
      <c r="J435" t="s">
        <v>29</v>
      </c>
      <c r="K435">
        <f>SalesTable[[#This Row],[Quantity]]*SalesTable[[#This Row],[Unit Price]]*(1-SalesTable[[#This Row],[Discount (%)]]/100)</f>
        <v>2357.3474999999999</v>
      </c>
    </row>
    <row r="436" spans="1:11" x14ac:dyDescent="0.25">
      <c r="A436" s="6">
        <v>46190</v>
      </c>
      <c r="B436" t="s">
        <v>728</v>
      </c>
      <c r="C436" t="s">
        <v>414</v>
      </c>
      <c r="D436" t="s">
        <v>13</v>
      </c>
      <c r="E436" t="s">
        <v>62</v>
      </c>
      <c r="F436" t="s">
        <v>63</v>
      </c>
      <c r="G436">
        <v>10</v>
      </c>
      <c r="H436">
        <v>620.16999999999996</v>
      </c>
      <c r="I436">
        <v>15</v>
      </c>
      <c r="J436" t="s">
        <v>16</v>
      </c>
      <c r="K436">
        <f>SalesTable[[#This Row],[Quantity]]*SalesTable[[#This Row],[Unit Price]]*(1-SalesTable[[#This Row],[Discount (%)]]/100)</f>
        <v>5271.4449999999997</v>
      </c>
    </row>
    <row r="437" spans="1:11" x14ac:dyDescent="0.25">
      <c r="A437" s="6">
        <v>46072</v>
      </c>
      <c r="B437" t="s">
        <v>729</v>
      </c>
      <c r="C437" t="s">
        <v>112</v>
      </c>
      <c r="D437" t="s">
        <v>20</v>
      </c>
      <c r="E437" t="s">
        <v>62</v>
      </c>
      <c r="F437" t="s">
        <v>79</v>
      </c>
      <c r="G437">
        <v>5</v>
      </c>
      <c r="H437">
        <v>992.8</v>
      </c>
      <c r="I437">
        <v>15</v>
      </c>
      <c r="J437" t="s">
        <v>98</v>
      </c>
      <c r="K437">
        <f>SalesTable[[#This Row],[Quantity]]*SalesTable[[#This Row],[Unit Price]]*(1-SalesTable[[#This Row],[Discount (%)]]/100)</f>
        <v>4219.3999999999996</v>
      </c>
    </row>
    <row r="438" spans="1:11" x14ac:dyDescent="0.25">
      <c r="A438" s="6">
        <v>46028</v>
      </c>
      <c r="B438" t="s">
        <v>731</v>
      </c>
      <c r="C438" t="s">
        <v>318</v>
      </c>
      <c r="D438" t="s">
        <v>26</v>
      </c>
      <c r="E438" t="s">
        <v>33</v>
      </c>
      <c r="F438" t="s">
        <v>82</v>
      </c>
      <c r="G438">
        <v>1</v>
      </c>
      <c r="H438">
        <v>390.6</v>
      </c>
      <c r="I438">
        <v>0</v>
      </c>
      <c r="J438" t="s">
        <v>22</v>
      </c>
      <c r="K438">
        <f>SalesTable[[#This Row],[Quantity]]*SalesTable[[#This Row],[Unit Price]]*(1-SalesTable[[#This Row],[Discount (%)]]/100)</f>
        <v>390.6</v>
      </c>
    </row>
    <row r="439" spans="1:11" x14ac:dyDescent="0.25">
      <c r="A439" s="6">
        <v>46219</v>
      </c>
      <c r="B439" t="s">
        <v>732</v>
      </c>
      <c r="C439" t="s">
        <v>289</v>
      </c>
      <c r="D439" t="s">
        <v>26</v>
      </c>
      <c r="E439" t="s">
        <v>27</v>
      </c>
      <c r="F439" t="s">
        <v>51</v>
      </c>
      <c r="G439">
        <v>10</v>
      </c>
      <c r="H439">
        <v>335.25</v>
      </c>
      <c r="I439">
        <v>0</v>
      </c>
      <c r="J439" t="s">
        <v>22</v>
      </c>
      <c r="K439">
        <f>SalesTable[[#This Row],[Quantity]]*SalesTable[[#This Row],[Unit Price]]*(1-SalesTable[[#This Row],[Discount (%)]]/100)</f>
        <v>3352.5</v>
      </c>
    </row>
    <row r="440" spans="1:11" x14ac:dyDescent="0.25">
      <c r="A440" s="6">
        <v>46183</v>
      </c>
      <c r="B440" t="s">
        <v>733</v>
      </c>
      <c r="C440" t="s">
        <v>352</v>
      </c>
      <c r="D440" t="s">
        <v>20</v>
      </c>
      <c r="E440" t="s">
        <v>14</v>
      </c>
      <c r="F440" t="s">
        <v>15</v>
      </c>
      <c r="G440">
        <v>10</v>
      </c>
      <c r="H440">
        <v>942.75</v>
      </c>
      <c r="I440">
        <v>15</v>
      </c>
      <c r="J440" t="s">
        <v>47</v>
      </c>
      <c r="K440">
        <f>SalesTable[[#This Row],[Quantity]]*SalesTable[[#This Row],[Unit Price]]*(1-SalesTable[[#This Row],[Discount (%)]]/100)</f>
        <v>8013.375</v>
      </c>
    </row>
    <row r="441" spans="1:11" x14ac:dyDescent="0.25">
      <c r="A441" s="6">
        <v>46142</v>
      </c>
      <c r="B441" t="s">
        <v>734</v>
      </c>
      <c r="C441" t="s">
        <v>101</v>
      </c>
      <c r="D441" t="s">
        <v>20</v>
      </c>
      <c r="E441" t="s">
        <v>62</v>
      </c>
      <c r="F441" t="s">
        <v>73</v>
      </c>
      <c r="G441">
        <v>10</v>
      </c>
      <c r="H441">
        <v>389.47</v>
      </c>
      <c r="I441">
        <v>0</v>
      </c>
      <c r="J441" t="s">
        <v>22</v>
      </c>
      <c r="K441">
        <f>SalesTable[[#This Row],[Quantity]]*SalesTable[[#This Row],[Unit Price]]*(1-SalesTable[[#This Row],[Discount (%)]]/100)</f>
        <v>3894.7000000000003</v>
      </c>
    </row>
    <row r="442" spans="1:11" x14ac:dyDescent="0.25">
      <c r="A442" s="6">
        <v>46051</v>
      </c>
      <c r="B442" t="s">
        <v>735</v>
      </c>
      <c r="C442" t="s">
        <v>129</v>
      </c>
      <c r="D442" t="s">
        <v>13</v>
      </c>
      <c r="E442" t="s">
        <v>33</v>
      </c>
      <c r="F442" t="s">
        <v>46</v>
      </c>
      <c r="G442">
        <v>6</v>
      </c>
      <c r="H442">
        <v>237.61</v>
      </c>
      <c r="I442">
        <v>0</v>
      </c>
      <c r="J442" t="s">
        <v>98</v>
      </c>
      <c r="K442">
        <f>SalesTable[[#This Row],[Quantity]]*SalesTable[[#This Row],[Unit Price]]*(1-SalesTable[[#This Row],[Discount (%)]]/100)</f>
        <v>1425.66</v>
      </c>
    </row>
    <row r="443" spans="1:11" x14ac:dyDescent="0.25">
      <c r="A443" s="6">
        <v>46174</v>
      </c>
      <c r="B443" t="s">
        <v>736</v>
      </c>
      <c r="C443" t="s">
        <v>201</v>
      </c>
      <c r="D443" t="s">
        <v>13</v>
      </c>
      <c r="E443" t="s">
        <v>14</v>
      </c>
      <c r="F443" t="s">
        <v>21</v>
      </c>
      <c r="G443">
        <v>6</v>
      </c>
      <c r="H443">
        <v>524.63</v>
      </c>
      <c r="I443">
        <v>10</v>
      </c>
      <c r="J443" t="s">
        <v>108</v>
      </c>
      <c r="K443">
        <f>SalesTable[[#This Row],[Quantity]]*SalesTable[[#This Row],[Unit Price]]*(1-SalesTable[[#This Row],[Discount (%)]]/100)</f>
        <v>2833.002</v>
      </c>
    </row>
    <row r="444" spans="1:11" x14ac:dyDescent="0.25">
      <c r="A444" s="6">
        <v>46220</v>
      </c>
      <c r="B444" t="s">
        <v>737</v>
      </c>
      <c r="C444" t="s">
        <v>448</v>
      </c>
      <c r="D444" t="s">
        <v>13</v>
      </c>
      <c r="E444" t="s">
        <v>33</v>
      </c>
      <c r="F444" t="s">
        <v>82</v>
      </c>
      <c r="G444">
        <v>3</v>
      </c>
      <c r="H444">
        <v>563.5</v>
      </c>
      <c r="I444">
        <v>5</v>
      </c>
      <c r="J444" t="s">
        <v>47</v>
      </c>
      <c r="K444">
        <f>SalesTable[[#This Row],[Quantity]]*SalesTable[[#This Row],[Unit Price]]*(1-SalesTable[[#This Row],[Discount (%)]]/100)</f>
        <v>1605.9749999999999</v>
      </c>
    </row>
    <row r="445" spans="1:11" x14ac:dyDescent="0.25">
      <c r="A445" s="6">
        <v>46127</v>
      </c>
      <c r="B445" t="s">
        <v>738</v>
      </c>
      <c r="C445" t="s">
        <v>397</v>
      </c>
      <c r="D445" t="s">
        <v>13</v>
      </c>
      <c r="E445" t="s">
        <v>62</v>
      </c>
      <c r="F445" t="s">
        <v>92</v>
      </c>
      <c r="G445">
        <v>8</v>
      </c>
      <c r="H445">
        <v>853.56</v>
      </c>
      <c r="I445">
        <v>15</v>
      </c>
      <c r="J445" t="s">
        <v>22</v>
      </c>
      <c r="K445">
        <f>SalesTable[[#This Row],[Quantity]]*SalesTable[[#This Row],[Unit Price]]*(1-SalesTable[[#This Row],[Discount (%)]]/100)</f>
        <v>5804.2079999999996</v>
      </c>
    </row>
    <row r="446" spans="1:11" x14ac:dyDescent="0.25">
      <c r="A446" s="6">
        <v>46231</v>
      </c>
      <c r="B446" t="s">
        <v>739</v>
      </c>
      <c r="C446" t="s">
        <v>314</v>
      </c>
      <c r="D446" t="s">
        <v>26</v>
      </c>
      <c r="E446" t="s">
        <v>33</v>
      </c>
      <c r="F446" t="s">
        <v>46</v>
      </c>
      <c r="G446">
        <v>9</v>
      </c>
      <c r="H446">
        <v>890.13</v>
      </c>
      <c r="I446">
        <v>10</v>
      </c>
      <c r="J446" t="s">
        <v>108</v>
      </c>
      <c r="K446">
        <f>SalesTable[[#This Row],[Quantity]]*SalesTable[[#This Row],[Unit Price]]*(1-SalesTable[[#This Row],[Discount (%)]]/100)</f>
        <v>7210.0529999999999</v>
      </c>
    </row>
    <row r="447" spans="1:11" x14ac:dyDescent="0.25">
      <c r="A447" s="6">
        <v>46210</v>
      </c>
      <c r="B447" t="s">
        <v>740</v>
      </c>
      <c r="C447" t="s">
        <v>210</v>
      </c>
      <c r="D447" t="s">
        <v>26</v>
      </c>
      <c r="E447" t="s">
        <v>27</v>
      </c>
      <c r="F447" t="s">
        <v>51</v>
      </c>
      <c r="G447">
        <v>1</v>
      </c>
      <c r="H447">
        <v>1027.1199999999999</v>
      </c>
      <c r="I447">
        <v>0</v>
      </c>
      <c r="J447" t="s">
        <v>47</v>
      </c>
      <c r="K447">
        <f>SalesTable[[#This Row],[Quantity]]*SalesTable[[#This Row],[Unit Price]]*(1-SalesTable[[#This Row],[Discount (%)]]/100)</f>
        <v>1027.1199999999999</v>
      </c>
    </row>
    <row r="448" spans="1:11" x14ac:dyDescent="0.25">
      <c r="A448" s="6">
        <v>46145</v>
      </c>
      <c r="B448" t="s">
        <v>742</v>
      </c>
      <c r="C448" t="s">
        <v>201</v>
      </c>
      <c r="D448" t="s">
        <v>13</v>
      </c>
      <c r="E448" t="s">
        <v>33</v>
      </c>
      <c r="F448" t="s">
        <v>34</v>
      </c>
      <c r="G448">
        <v>8</v>
      </c>
      <c r="H448">
        <v>575.24</v>
      </c>
      <c r="I448">
        <v>15</v>
      </c>
      <c r="J448" t="s">
        <v>29</v>
      </c>
      <c r="K448">
        <f>SalesTable[[#This Row],[Quantity]]*SalesTable[[#This Row],[Unit Price]]*(1-SalesTable[[#This Row],[Discount (%)]]/100)</f>
        <v>3911.6320000000001</v>
      </c>
    </row>
    <row r="449" spans="1:11" x14ac:dyDescent="0.25">
      <c r="A449" s="6">
        <v>46147</v>
      </c>
      <c r="B449" t="s">
        <v>743</v>
      </c>
      <c r="C449" t="s">
        <v>476</v>
      </c>
      <c r="D449" t="s">
        <v>20</v>
      </c>
      <c r="E449" t="s">
        <v>62</v>
      </c>
      <c r="F449" t="s">
        <v>63</v>
      </c>
      <c r="G449">
        <v>1</v>
      </c>
      <c r="H449">
        <v>1002.5</v>
      </c>
      <c r="I449">
        <v>10</v>
      </c>
      <c r="J449" t="s">
        <v>98</v>
      </c>
      <c r="K449">
        <f>SalesTable[[#This Row],[Quantity]]*SalesTable[[#This Row],[Unit Price]]*(1-SalesTable[[#This Row],[Discount (%)]]/100)</f>
        <v>902.25</v>
      </c>
    </row>
    <row r="450" spans="1:11" x14ac:dyDescent="0.25">
      <c r="A450" s="6">
        <v>46147</v>
      </c>
      <c r="B450" t="s">
        <v>744</v>
      </c>
      <c r="C450" t="s">
        <v>333</v>
      </c>
      <c r="D450" t="s">
        <v>13</v>
      </c>
      <c r="E450" t="s">
        <v>62</v>
      </c>
      <c r="F450" t="s">
        <v>73</v>
      </c>
      <c r="G450">
        <v>10</v>
      </c>
      <c r="H450">
        <v>852.3</v>
      </c>
      <c r="I450">
        <v>10</v>
      </c>
      <c r="J450" t="s">
        <v>98</v>
      </c>
      <c r="K450">
        <f>SalesTable[[#This Row],[Quantity]]*SalesTable[[#This Row],[Unit Price]]*(1-SalesTable[[#This Row],[Discount (%)]]/100)</f>
        <v>7670.7</v>
      </c>
    </row>
    <row r="451" spans="1:11" x14ac:dyDescent="0.25">
      <c r="A451" s="6">
        <v>46146</v>
      </c>
      <c r="B451" t="s">
        <v>745</v>
      </c>
      <c r="C451" t="s">
        <v>132</v>
      </c>
      <c r="D451" t="s">
        <v>13</v>
      </c>
      <c r="E451" t="s">
        <v>33</v>
      </c>
      <c r="F451" t="s">
        <v>46</v>
      </c>
      <c r="G451">
        <v>5</v>
      </c>
      <c r="H451">
        <v>1171.3800000000001</v>
      </c>
      <c r="I451">
        <v>15</v>
      </c>
      <c r="J451" t="s">
        <v>108</v>
      </c>
      <c r="K451">
        <f>SalesTable[[#This Row],[Quantity]]*SalesTable[[#This Row],[Unit Price]]*(1-SalesTable[[#This Row],[Discount (%)]]/100)</f>
        <v>4978.3650000000007</v>
      </c>
    </row>
    <row r="452" spans="1:11" x14ac:dyDescent="0.25">
      <c r="A452" s="6">
        <v>46223</v>
      </c>
      <c r="B452" t="s">
        <v>747</v>
      </c>
      <c r="C452" t="s">
        <v>58</v>
      </c>
      <c r="D452" t="s">
        <v>20</v>
      </c>
      <c r="E452" t="s">
        <v>14</v>
      </c>
      <c r="F452" t="s">
        <v>21</v>
      </c>
      <c r="G452">
        <v>1</v>
      </c>
      <c r="H452">
        <v>285.45999999999998</v>
      </c>
      <c r="I452">
        <v>15</v>
      </c>
      <c r="J452" t="s">
        <v>16</v>
      </c>
      <c r="K452">
        <f>SalesTable[[#This Row],[Quantity]]*SalesTable[[#This Row],[Unit Price]]*(1-SalesTable[[#This Row],[Discount (%)]]/100)</f>
        <v>242.64099999999996</v>
      </c>
    </row>
    <row r="453" spans="1:11" x14ac:dyDescent="0.25">
      <c r="A453" s="6">
        <v>46146</v>
      </c>
      <c r="B453" t="s">
        <v>748</v>
      </c>
      <c r="C453" t="s">
        <v>382</v>
      </c>
      <c r="D453" t="s">
        <v>26</v>
      </c>
      <c r="E453" t="s">
        <v>62</v>
      </c>
      <c r="F453" t="s">
        <v>92</v>
      </c>
      <c r="G453">
        <v>8</v>
      </c>
      <c r="H453">
        <v>706.4</v>
      </c>
      <c r="I453">
        <v>15</v>
      </c>
      <c r="J453" t="s">
        <v>29</v>
      </c>
      <c r="K453">
        <f>SalesTable[[#This Row],[Quantity]]*SalesTable[[#This Row],[Unit Price]]*(1-SalesTable[[#This Row],[Discount (%)]]/100)</f>
        <v>4803.5199999999995</v>
      </c>
    </row>
    <row r="454" spans="1:11" x14ac:dyDescent="0.25">
      <c r="A454" s="6">
        <v>46138</v>
      </c>
      <c r="B454" t="s">
        <v>749</v>
      </c>
      <c r="C454" t="s">
        <v>91</v>
      </c>
      <c r="D454" t="s">
        <v>13</v>
      </c>
      <c r="E454" t="s">
        <v>14</v>
      </c>
      <c r="F454" t="s">
        <v>21</v>
      </c>
      <c r="G454">
        <v>7</v>
      </c>
      <c r="H454">
        <v>565.63</v>
      </c>
      <c r="I454">
        <v>10</v>
      </c>
      <c r="J454" t="s">
        <v>98</v>
      </c>
      <c r="K454">
        <f>SalesTable[[#This Row],[Quantity]]*SalesTable[[#This Row],[Unit Price]]*(1-SalesTable[[#This Row],[Discount (%)]]/100)</f>
        <v>3563.4690000000001</v>
      </c>
    </row>
    <row r="455" spans="1:11" x14ac:dyDescent="0.25">
      <c r="A455" s="6">
        <v>46065</v>
      </c>
      <c r="B455" t="s">
        <v>750</v>
      </c>
      <c r="C455" t="s">
        <v>61</v>
      </c>
      <c r="D455" t="s">
        <v>20</v>
      </c>
      <c r="E455" t="s">
        <v>14</v>
      </c>
      <c r="F455" t="s">
        <v>76</v>
      </c>
      <c r="G455">
        <v>9</v>
      </c>
      <c r="H455">
        <v>922.52</v>
      </c>
      <c r="I455">
        <v>0</v>
      </c>
      <c r="J455" t="s">
        <v>47</v>
      </c>
      <c r="K455">
        <f>SalesTable[[#This Row],[Quantity]]*SalesTable[[#This Row],[Unit Price]]*(1-SalesTable[[#This Row],[Discount (%)]]/100)</f>
        <v>8302.68</v>
      </c>
    </row>
    <row r="456" spans="1:11" x14ac:dyDescent="0.25">
      <c r="A456" s="6">
        <v>46077</v>
      </c>
      <c r="B456" t="s">
        <v>751</v>
      </c>
      <c r="C456" t="s">
        <v>414</v>
      </c>
      <c r="D456" t="s">
        <v>41</v>
      </c>
      <c r="E456" t="s">
        <v>14</v>
      </c>
      <c r="F456" t="s">
        <v>21</v>
      </c>
      <c r="G456">
        <v>5</v>
      </c>
      <c r="H456">
        <v>364.96</v>
      </c>
      <c r="I456">
        <v>15</v>
      </c>
      <c r="J456" t="s">
        <v>47</v>
      </c>
      <c r="K456">
        <f>SalesTable[[#This Row],[Quantity]]*SalesTable[[#This Row],[Unit Price]]*(1-SalesTable[[#This Row],[Discount (%)]]/100)</f>
        <v>1551.08</v>
      </c>
    </row>
    <row r="457" spans="1:11" x14ac:dyDescent="0.25">
      <c r="A457" s="6">
        <v>46042</v>
      </c>
      <c r="B457" t="s">
        <v>752</v>
      </c>
      <c r="C457" t="s">
        <v>455</v>
      </c>
      <c r="D457" t="s">
        <v>26</v>
      </c>
      <c r="E457" t="s">
        <v>14</v>
      </c>
      <c r="F457" t="s">
        <v>21</v>
      </c>
      <c r="G457">
        <v>6</v>
      </c>
      <c r="H457">
        <v>410.15</v>
      </c>
      <c r="I457">
        <v>5</v>
      </c>
      <c r="J457" t="s">
        <v>29</v>
      </c>
      <c r="K457">
        <f>SalesTable[[#This Row],[Quantity]]*SalesTable[[#This Row],[Unit Price]]*(1-SalesTable[[#This Row],[Discount (%)]]/100)</f>
        <v>2337.8549999999996</v>
      </c>
    </row>
    <row r="458" spans="1:11" x14ac:dyDescent="0.25">
      <c r="A458" s="6">
        <v>46051</v>
      </c>
      <c r="B458" t="s">
        <v>753</v>
      </c>
      <c r="C458" t="s">
        <v>132</v>
      </c>
      <c r="D458" t="s">
        <v>41</v>
      </c>
      <c r="E458" t="s">
        <v>14</v>
      </c>
      <c r="F458" t="s">
        <v>15</v>
      </c>
      <c r="G458">
        <v>9</v>
      </c>
      <c r="H458">
        <v>750.04</v>
      </c>
      <c r="I458">
        <v>10</v>
      </c>
      <c r="J458" t="s">
        <v>16</v>
      </c>
      <c r="K458">
        <f>SalesTable[[#This Row],[Quantity]]*SalesTable[[#This Row],[Unit Price]]*(1-SalesTable[[#This Row],[Discount (%)]]/100)</f>
        <v>6075.3239999999996</v>
      </c>
    </row>
    <row r="459" spans="1:11" x14ac:dyDescent="0.25">
      <c r="A459" s="6">
        <v>46227</v>
      </c>
      <c r="B459" t="s">
        <v>755</v>
      </c>
      <c r="C459" t="s">
        <v>210</v>
      </c>
      <c r="D459" t="s">
        <v>20</v>
      </c>
      <c r="E459" t="s">
        <v>33</v>
      </c>
      <c r="F459" t="s">
        <v>34</v>
      </c>
      <c r="G459">
        <v>5</v>
      </c>
      <c r="H459">
        <v>25.14</v>
      </c>
      <c r="I459">
        <v>5</v>
      </c>
      <c r="J459" t="s">
        <v>98</v>
      </c>
      <c r="K459">
        <f>SalesTable[[#This Row],[Quantity]]*SalesTable[[#This Row],[Unit Price]]*(1-SalesTable[[#This Row],[Discount (%)]]/100)</f>
        <v>119.41499999999999</v>
      </c>
    </row>
    <row r="460" spans="1:11" x14ac:dyDescent="0.25">
      <c r="A460" s="6">
        <v>46088</v>
      </c>
      <c r="B460" t="s">
        <v>756</v>
      </c>
      <c r="C460" t="s">
        <v>213</v>
      </c>
      <c r="D460" t="s">
        <v>41</v>
      </c>
      <c r="E460" t="s">
        <v>14</v>
      </c>
      <c r="F460" t="s">
        <v>21</v>
      </c>
      <c r="G460">
        <v>9</v>
      </c>
      <c r="H460">
        <v>475.96</v>
      </c>
      <c r="I460">
        <v>10</v>
      </c>
      <c r="J460" t="s">
        <v>98</v>
      </c>
      <c r="K460">
        <f>SalesTable[[#This Row],[Quantity]]*SalesTable[[#This Row],[Unit Price]]*(1-SalesTable[[#This Row],[Discount (%)]]/100)</f>
        <v>3855.2759999999994</v>
      </c>
    </row>
    <row r="461" spans="1:11" x14ac:dyDescent="0.25">
      <c r="A461" s="6">
        <v>46135</v>
      </c>
      <c r="B461" t="s">
        <v>757</v>
      </c>
      <c r="C461" t="s">
        <v>422</v>
      </c>
      <c r="D461" t="s">
        <v>20</v>
      </c>
      <c r="E461" t="s">
        <v>27</v>
      </c>
      <c r="F461" t="s">
        <v>28</v>
      </c>
      <c r="G461">
        <v>5</v>
      </c>
      <c r="H461">
        <v>400.07</v>
      </c>
      <c r="I461">
        <v>5</v>
      </c>
      <c r="J461" t="s">
        <v>98</v>
      </c>
      <c r="K461">
        <f>SalesTable[[#This Row],[Quantity]]*SalesTable[[#This Row],[Unit Price]]*(1-SalesTable[[#This Row],[Discount (%)]]/100)</f>
        <v>1900.3324999999998</v>
      </c>
    </row>
    <row r="462" spans="1:11" x14ac:dyDescent="0.25">
      <c r="A462" s="6">
        <v>46178</v>
      </c>
      <c r="B462" t="s">
        <v>759</v>
      </c>
      <c r="C462" t="s">
        <v>124</v>
      </c>
      <c r="D462" t="s">
        <v>20</v>
      </c>
      <c r="E462" t="s">
        <v>27</v>
      </c>
      <c r="F462" t="s">
        <v>28</v>
      </c>
      <c r="G462">
        <v>1</v>
      </c>
      <c r="H462">
        <v>547.61</v>
      </c>
      <c r="I462">
        <v>5</v>
      </c>
      <c r="J462" t="s">
        <v>108</v>
      </c>
      <c r="K462">
        <f>SalesTable[[#This Row],[Quantity]]*SalesTable[[#This Row],[Unit Price]]*(1-SalesTable[[#This Row],[Discount (%)]]/100)</f>
        <v>520.22950000000003</v>
      </c>
    </row>
    <row r="463" spans="1:11" x14ac:dyDescent="0.25">
      <c r="A463" s="6">
        <v>46163</v>
      </c>
      <c r="B463" t="s">
        <v>760</v>
      </c>
      <c r="C463" t="s">
        <v>12</v>
      </c>
      <c r="D463" t="s">
        <v>13</v>
      </c>
      <c r="E463" t="s">
        <v>27</v>
      </c>
      <c r="F463" t="s">
        <v>28</v>
      </c>
      <c r="G463">
        <v>8</v>
      </c>
      <c r="H463">
        <v>765.3</v>
      </c>
      <c r="I463">
        <v>15</v>
      </c>
      <c r="J463" t="s">
        <v>108</v>
      </c>
      <c r="K463">
        <f>SalesTable[[#This Row],[Quantity]]*SalesTable[[#This Row],[Unit Price]]*(1-SalesTable[[#This Row],[Discount (%)]]/100)</f>
        <v>5204.04</v>
      </c>
    </row>
    <row r="464" spans="1:11" x14ac:dyDescent="0.25">
      <c r="A464" s="6">
        <v>46171</v>
      </c>
      <c r="B464" t="s">
        <v>761</v>
      </c>
      <c r="C464" t="s">
        <v>455</v>
      </c>
      <c r="D464" t="s">
        <v>26</v>
      </c>
      <c r="E464" t="s">
        <v>14</v>
      </c>
      <c r="F464" t="s">
        <v>21</v>
      </c>
      <c r="G464">
        <v>6</v>
      </c>
      <c r="H464">
        <v>894.97</v>
      </c>
      <c r="I464">
        <v>10</v>
      </c>
      <c r="J464" t="s">
        <v>29</v>
      </c>
      <c r="K464">
        <f>SalesTable[[#This Row],[Quantity]]*SalesTable[[#This Row],[Unit Price]]*(1-SalesTable[[#This Row],[Discount (%)]]/100)</f>
        <v>4832.8379999999997</v>
      </c>
    </row>
    <row r="465" spans="1:11" x14ac:dyDescent="0.25">
      <c r="A465" s="6">
        <v>46211</v>
      </c>
      <c r="B465" t="s">
        <v>762</v>
      </c>
      <c r="C465" t="s">
        <v>117</v>
      </c>
      <c r="D465" t="s">
        <v>13</v>
      </c>
      <c r="E465" t="s">
        <v>62</v>
      </c>
      <c r="F465" t="s">
        <v>92</v>
      </c>
      <c r="G465">
        <v>8</v>
      </c>
      <c r="H465">
        <v>459.34</v>
      </c>
      <c r="I465">
        <v>0</v>
      </c>
      <c r="J465" t="s">
        <v>16</v>
      </c>
      <c r="K465">
        <f>SalesTable[[#This Row],[Quantity]]*SalesTable[[#This Row],[Unit Price]]*(1-SalesTable[[#This Row],[Discount (%)]]/100)</f>
        <v>3674.72</v>
      </c>
    </row>
    <row r="466" spans="1:11" x14ac:dyDescent="0.25">
      <c r="A466" s="6">
        <v>46229</v>
      </c>
      <c r="B466" t="s">
        <v>763</v>
      </c>
      <c r="C466" t="s">
        <v>50</v>
      </c>
      <c r="D466" t="s">
        <v>26</v>
      </c>
      <c r="E466" t="s">
        <v>33</v>
      </c>
      <c r="F466" t="s">
        <v>82</v>
      </c>
      <c r="G466">
        <v>10</v>
      </c>
      <c r="H466">
        <v>412.46</v>
      </c>
      <c r="I466">
        <v>15</v>
      </c>
      <c r="J466" t="s">
        <v>98</v>
      </c>
      <c r="K466">
        <f>SalesTable[[#This Row],[Quantity]]*SalesTable[[#This Row],[Unit Price]]*(1-SalesTable[[#This Row],[Discount (%)]]/100)</f>
        <v>3505.9099999999994</v>
      </c>
    </row>
    <row r="467" spans="1:11" x14ac:dyDescent="0.25">
      <c r="A467" s="6">
        <v>46126</v>
      </c>
      <c r="B467" t="s">
        <v>764</v>
      </c>
      <c r="C467" t="s">
        <v>370</v>
      </c>
      <c r="D467" t="s">
        <v>26</v>
      </c>
      <c r="E467" t="s">
        <v>14</v>
      </c>
      <c r="F467" t="s">
        <v>21</v>
      </c>
      <c r="G467">
        <v>8</v>
      </c>
      <c r="H467">
        <v>425.67</v>
      </c>
      <c r="I467">
        <v>15</v>
      </c>
      <c r="J467" t="s">
        <v>98</v>
      </c>
      <c r="K467">
        <f>SalesTable[[#This Row],[Quantity]]*SalesTable[[#This Row],[Unit Price]]*(1-SalesTable[[#This Row],[Discount (%)]]/100)</f>
        <v>2894.556</v>
      </c>
    </row>
    <row r="468" spans="1:11" x14ac:dyDescent="0.25">
      <c r="A468" s="6">
        <v>46081</v>
      </c>
      <c r="B468" t="s">
        <v>765</v>
      </c>
      <c r="C468" t="s">
        <v>503</v>
      </c>
      <c r="D468" t="s">
        <v>26</v>
      </c>
      <c r="E468" t="s">
        <v>27</v>
      </c>
      <c r="F468" t="s">
        <v>42</v>
      </c>
      <c r="G468">
        <v>10</v>
      </c>
      <c r="H468">
        <v>891.91</v>
      </c>
      <c r="I468">
        <v>0</v>
      </c>
      <c r="J468" t="s">
        <v>16</v>
      </c>
      <c r="K468">
        <f>SalesTable[[#This Row],[Quantity]]*SalesTable[[#This Row],[Unit Price]]*(1-SalesTable[[#This Row],[Discount (%)]]/100)</f>
        <v>8919.1</v>
      </c>
    </row>
    <row r="469" spans="1:11" x14ac:dyDescent="0.25">
      <c r="A469" s="6">
        <v>46116</v>
      </c>
      <c r="B469" t="s">
        <v>766</v>
      </c>
      <c r="C469" t="s">
        <v>272</v>
      </c>
      <c r="D469" t="s">
        <v>41</v>
      </c>
      <c r="E469" t="s">
        <v>14</v>
      </c>
      <c r="F469" t="s">
        <v>76</v>
      </c>
      <c r="G469">
        <v>3</v>
      </c>
      <c r="H469">
        <v>827.88</v>
      </c>
      <c r="I469">
        <v>15</v>
      </c>
      <c r="J469" t="s">
        <v>22</v>
      </c>
      <c r="K469">
        <f>SalesTable[[#This Row],[Quantity]]*SalesTable[[#This Row],[Unit Price]]*(1-SalesTable[[#This Row],[Discount (%)]]/100)</f>
        <v>2111.0940000000001</v>
      </c>
    </row>
    <row r="470" spans="1:11" x14ac:dyDescent="0.25">
      <c r="A470" s="6">
        <v>46221</v>
      </c>
      <c r="B470" t="s">
        <v>767</v>
      </c>
      <c r="C470" t="s">
        <v>50</v>
      </c>
      <c r="D470" t="s">
        <v>20</v>
      </c>
      <c r="E470" t="s">
        <v>33</v>
      </c>
      <c r="F470" t="s">
        <v>46</v>
      </c>
      <c r="G470">
        <v>2</v>
      </c>
      <c r="H470">
        <v>186.76</v>
      </c>
      <c r="I470">
        <v>10</v>
      </c>
      <c r="J470" t="s">
        <v>22</v>
      </c>
      <c r="K470">
        <f>SalesTable[[#This Row],[Quantity]]*SalesTable[[#This Row],[Unit Price]]*(1-SalesTable[[#This Row],[Discount (%)]]/100)</f>
        <v>336.16800000000001</v>
      </c>
    </row>
    <row r="471" spans="1:11" x14ac:dyDescent="0.25">
      <c r="A471" s="6">
        <v>46033</v>
      </c>
      <c r="B471" t="s">
        <v>768</v>
      </c>
      <c r="C471" t="s">
        <v>236</v>
      </c>
      <c r="D471" t="s">
        <v>13</v>
      </c>
      <c r="E471" t="s">
        <v>27</v>
      </c>
      <c r="F471" t="s">
        <v>51</v>
      </c>
      <c r="G471">
        <v>1</v>
      </c>
      <c r="H471">
        <v>245.18</v>
      </c>
      <c r="I471">
        <v>0</v>
      </c>
      <c r="J471" t="s">
        <v>98</v>
      </c>
      <c r="K471">
        <f>SalesTable[[#This Row],[Quantity]]*SalesTable[[#This Row],[Unit Price]]*(1-SalesTable[[#This Row],[Discount (%)]]/100)</f>
        <v>245.18</v>
      </c>
    </row>
    <row r="472" spans="1:11" x14ac:dyDescent="0.25">
      <c r="A472" s="6">
        <v>46045</v>
      </c>
      <c r="B472" t="s">
        <v>769</v>
      </c>
      <c r="C472" t="s">
        <v>256</v>
      </c>
      <c r="D472" t="s">
        <v>13</v>
      </c>
      <c r="E472" t="s">
        <v>62</v>
      </c>
      <c r="F472" t="s">
        <v>92</v>
      </c>
      <c r="G472">
        <v>2</v>
      </c>
      <c r="H472">
        <v>490.5</v>
      </c>
      <c r="I472">
        <v>5</v>
      </c>
      <c r="J472" t="s">
        <v>22</v>
      </c>
      <c r="K472">
        <f>SalesTable[[#This Row],[Quantity]]*SalesTable[[#This Row],[Unit Price]]*(1-SalesTable[[#This Row],[Discount (%)]]/100)</f>
        <v>931.94999999999993</v>
      </c>
    </row>
    <row r="473" spans="1:11" x14ac:dyDescent="0.25">
      <c r="A473" s="6">
        <v>46082</v>
      </c>
      <c r="B473" t="s">
        <v>771</v>
      </c>
      <c r="C473" t="s">
        <v>129</v>
      </c>
      <c r="D473" t="s">
        <v>26</v>
      </c>
      <c r="E473" t="s">
        <v>33</v>
      </c>
      <c r="F473" t="s">
        <v>82</v>
      </c>
      <c r="G473">
        <v>3</v>
      </c>
      <c r="H473">
        <v>14.73</v>
      </c>
      <c r="I473">
        <v>15</v>
      </c>
      <c r="J473" t="s">
        <v>47</v>
      </c>
      <c r="K473">
        <f>SalesTable[[#This Row],[Quantity]]*SalesTable[[#This Row],[Unit Price]]*(1-SalesTable[[#This Row],[Discount (%)]]/100)</f>
        <v>37.561499999999995</v>
      </c>
    </row>
    <row r="474" spans="1:11" x14ac:dyDescent="0.25">
      <c r="A474" s="6">
        <v>46202</v>
      </c>
      <c r="B474" t="s">
        <v>772</v>
      </c>
      <c r="C474" t="s">
        <v>314</v>
      </c>
      <c r="D474" t="s">
        <v>20</v>
      </c>
      <c r="E474" t="s">
        <v>27</v>
      </c>
      <c r="F474" t="s">
        <v>28</v>
      </c>
      <c r="G474">
        <v>6</v>
      </c>
      <c r="H474">
        <v>564.51</v>
      </c>
      <c r="I474">
        <v>15</v>
      </c>
      <c r="J474" t="s">
        <v>22</v>
      </c>
      <c r="K474">
        <f>SalesTable[[#This Row],[Quantity]]*SalesTable[[#This Row],[Unit Price]]*(1-SalesTable[[#This Row],[Discount (%)]]/100)</f>
        <v>2879.0009999999997</v>
      </c>
    </row>
    <row r="475" spans="1:11" x14ac:dyDescent="0.25">
      <c r="A475" s="6">
        <v>46034</v>
      </c>
      <c r="B475" t="s">
        <v>773</v>
      </c>
      <c r="C475" t="s">
        <v>40</v>
      </c>
      <c r="D475" t="s">
        <v>20</v>
      </c>
      <c r="E475" t="s">
        <v>62</v>
      </c>
      <c r="F475" t="s">
        <v>73</v>
      </c>
      <c r="G475">
        <v>7</v>
      </c>
      <c r="H475">
        <v>909.26</v>
      </c>
      <c r="I475">
        <v>0</v>
      </c>
      <c r="J475" t="s">
        <v>98</v>
      </c>
      <c r="K475">
        <f>SalesTable[[#This Row],[Quantity]]*SalesTable[[#This Row],[Unit Price]]*(1-SalesTable[[#This Row],[Discount (%)]]/100)</f>
        <v>6364.82</v>
      </c>
    </row>
    <row r="476" spans="1:11" x14ac:dyDescent="0.25">
      <c r="A476" s="6">
        <v>46151</v>
      </c>
      <c r="B476" t="s">
        <v>774</v>
      </c>
      <c r="C476" t="s">
        <v>91</v>
      </c>
      <c r="D476" t="s">
        <v>13</v>
      </c>
      <c r="E476" t="s">
        <v>62</v>
      </c>
      <c r="F476" t="s">
        <v>92</v>
      </c>
      <c r="G476">
        <v>10</v>
      </c>
      <c r="H476">
        <v>803.98</v>
      </c>
      <c r="I476">
        <v>10</v>
      </c>
      <c r="J476" t="s">
        <v>16</v>
      </c>
      <c r="K476">
        <f>SalesTable[[#This Row],[Quantity]]*SalesTable[[#This Row],[Unit Price]]*(1-SalesTable[[#This Row],[Discount (%)]]/100)</f>
        <v>7235.8200000000006</v>
      </c>
    </row>
    <row r="477" spans="1:11" x14ac:dyDescent="0.25">
      <c r="A477" s="6">
        <v>46060</v>
      </c>
      <c r="B477" t="s">
        <v>775</v>
      </c>
      <c r="C477" t="s">
        <v>356</v>
      </c>
      <c r="D477" t="s">
        <v>41</v>
      </c>
      <c r="E477" t="s">
        <v>14</v>
      </c>
      <c r="F477" t="s">
        <v>15</v>
      </c>
      <c r="G477">
        <v>9</v>
      </c>
      <c r="H477">
        <v>512.65</v>
      </c>
      <c r="I477">
        <v>15</v>
      </c>
      <c r="J477" t="s">
        <v>29</v>
      </c>
      <c r="K477">
        <f>SalesTable[[#This Row],[Quantity]]*SalesTable[[#This Row],[Unit Price]]*(1-SalesTable[[#This Row],[Discount (%)]]/100)</f>
        <v>3921.7724999999996</v>
      </c>
    </row>
    <row r="478" spans="1:11" x14ac:dyDescent="0.25">
      <c r="A478" s="6">
        <v>46233</v>
      </c>
      <c r="B478" t="s">
        <v>776</v>
      </c>
      <c r="C478" t="s">
        <v>72</v>
      </c>
      <c r="D478" t="s">
        <v>26</v>
      </c>
      <c r="E478" t="s">
        <v>27</v>
      </c>
      <c r="F478" t="s">
        <v>51</v>
      </c>
      <c r="G478">
        <v>3</v>
      </c>
      <c r="H478">
        <v>87.83</v>
      </c>
      <c r="I478">
        <v>5</v>
      </c>
      <c r="J478" t="s">
        <v>22</v>
      </c>
      <c r="K478">
        <f>SalesTable[[#This Row],[Quantity]]*SalesTable[[#This Row],[Unit Price]]*(1-SalesTable[[#This Row],[Discount (%)]]/100)</f>
        <v>250.31549999999999</v>
      </c>
    </row>
    <row r="479" spans="1:11" x14ac:dyDescent="0.25">
      <c r="A479" s="6">
        <v>46023</v>
      </c>
      <c r="B479" t="s">
        <v>778</v>
      </c>
      <c r="C479" t="s">
        <v>352</v>
      </c>
      <c r="D479" t="s">
        <v>41</v>
      </c>
      <c r="E479" t="s">
        <v>62</v>
      </c>
      <c r="F479" t="s">
        <v>73</v>
      </c>
      <c r="G479">
        <v>6</v>
      </c>
      <c r="H479">
        <v>1095.1300000000001</v>
      </c>
      <c r="I479">
        <v>15</v>
      </c>
      <c r="J479" t="s">
        <v>47</v>
      </c>
      <c r="K479">
        <f>SalesTable[[#This Row],[Quantity]]*SalesTable[[#This Row],[Unit Price]]*(1-SalesTable[[#This Row],[Discount (%)]]/100)</f>
        <v>5585.1630000000005</v>
      </c>
    </row>
    <row r="480" spans="1:11" x14ac:dyDescent="0.25">
      <c r="A480" s="6">
        <v>46112</v>
      </c>
      <c r="B480" t="s">
        <v>779</v>
      </c>
      <c r="C480" t="s">
        <v>236</v>
      </c>
      <c r="D480" t="s">
        <v>20</v>
      </c>
      <c r="E480" t="s">
        <v>62</v>
      </c>
      <c r="F480" t="s">
        <v>79</v>
      </c>
      <c r="G480">
        <v>8</v>
      </c>
      <c r="H480">
        <v>222.28</v>
      </c>
      <c r="I480">
        <v>0</v>
      </c>
      <c r="J480" t="s">
        <v>108</v>
      </c>
      <c r="K480">
        <f>SalesTable[[#This Row],[Quantity]]*SalesTable[[#This Row],[Unit Price]]*(1-SalesTable[[#This Row],[Discount (%)]]/100)</f>
        <v>1778.24</v>
      </c>
    </row>
    <row r="481" spans="1:11" x14ac:dyDescent="0.25">
      <c r="A481" s="6">
        <v>46175</v>
      </c>
      <c r="B481" t="s">
        <v>780</v>
      </c>
      <c r="C481" t="s">
        <v>155</v>
      </c>
      <c r="D481" t="s">
        <v>26</v>
      </c>
      <c r="E481" t="s">
        <v>27</v>
      </c>
      <c r="F481" t="s">
        <v>51</v>
      </c>
      <c r="G481">
        <v>10</v>
      </c>
      <c r="H481">
        <v>555.42999999999995</v>
      </c>
      <c r="I481">
        <v>0</v>
      </c>
      <c r="J481" t="s">
        <v>98</v>
      </c>
      <c r="K481">
        <f>SalesTable[[#This Row],[Quantity]]*SalesTable[[#This Row],[Unit Price]]*(1-SalesTable[[#This Row],[Discount (%)]]/100)</f>
        <v>5554.2999999999993</v>
      </c>
    </row>
    <row r="482" spans="1:11" x14ac:dyDescent="0.25">
      <c r="A482" s="6">
        <v>46165</v>
      </c>
      <c r="B482" t="s">
        <v>781</v>
      </c>
      <c r="C482" t="s">
        <v>201</v>
      </c>
      <c r="D482" t="s">
        <v>20</v>
      </c>
      <c r="E482" t="s">
        <v>14</v>
      </c>
      <c r="F482" t="s">
        <v>76</v>
      </c>
      <c r="G482">
        <v>7</v>
      </c>
      <c r="H482">
        <v>823.97</v>
      </c>
      <c r="I482">
        <v>0</v>
      </c>
      <c r="J482" t="s">
        <v>47</v>
      </c>
      <c r="K482">
        <f>SalesTable[[#This Row],[Quantity]]*SalesTable[[#This Row],[Unit Price]]*(1-SalesTable[[#This Row],[Discount (%)]]/100)</f>
        <v>5767.79</v>
      </c>
    </row>
    <row r="483" spans="1:11" x14ac:dyDescent="0.25">
      <c r="A483" s="6">
        <v>46044</v>
      </c>
      <c r="B483" t="s">
        <v>782</v>
      </c>
      <c r="C483" t="s">
        <v>150</v>
      </c>
      <c r="D483" t="s">
        <v>41</v>
      </c>
      <c r="E483" t="s">
        <v>62</v>
      </c>
      <c r="F483" t="s">
        <v>92</v>
      </c>
      <c r="G483">
        <v>1</v>
      </c>
      <c r="H483">
        <v>201.67</v>
      </c>
      <c r="I483">
        <v>15</v>
      </c>
      <c r="J483" t="s">
        <v>29</v>
      </c>
      <c r="K483">
        <f>SalesTable[[#This Row],[Quantity]]*SalesTable[[#This Row],[Unit Price]]*(1-SalesTable[[#This Row],[Discount (%)]]/100)</f>
        <v>171.41949999999997</v>
      </c>
    </row>
    <row r="484" spans="1:11" x14ac:dyDescent="0.25">
      <c r="A484" s="6">
        <v>46116</v>
      </c>
      <c r="B484" t="s">
        <v>783</v>
      </c>
      <c r="C484" t="s">
        <v>346</v>
      </c>
      <c r="D484" t="s">
        <v>26</v>
      </c>
      <c r="E484" t="s">
        <v>14</v>
      </c>
      <c r="F484" t="s">
        <v>76</v>
      </c>
      <c r="G484">
        <v>5</v>
      </c>
      <c r="H484">
        <v>695.73</v>
      </c>
      <c r="I484">
        <v>15</v>
      </c>
      <c r="J484" t="s">
        <v>22</v>
      </c>
      <c r="K484">
        <f>SalesTable[[#This Row],[Quantity]]*SalesTable[[#This Row],[Unit Price]]*(1-SalesTable[[#This Row],[Discount (%)]]/100)</f>
        <v>2956.8525</v>
      </c>
    </row>
    <row r="485" spans="1:11" x14ac:dyDescent="0.25">
      <c r="A485" s="6">
        <v>46125</v>
      </c>
      <c r="B485" t="s">
        <v>784</v>
      </c>
      <c r="C485" t="s">
        <v>346</v>
      </c>
      <c r="D485" t="s">
        <v>20</v>
      </c>
      <c r="E485" t="s">
        <v>33</v>
      </c>
      <c r="F485" t="s">
        <v>46</v>
      </c>
      <c r="G485">
        <v>1</v>
      </c>
      <c r="H485">
        <v>950.23</v>
      </c>
      <c r="I485">
        <v>5</v>
      </c>
      <c r="J485" t="s">
        <v>22</v>
      </c>
      <c r="K485">
        <f>SalesTable[[#This Row],[Quantity]]*SalesTable[[#This Row],[Unit Price]]*(1-SalesTable[[#This Row],[Discount (%)]]/100)</f>
        <v>902.71849999999995</v>
      </c>
    </row>
    <row r="486" spans="1:11" x14ac:dyDescent="0.25">
      <c r="A486" s="6">
        <v>46060</v>
      </c>
      <c r="B486" t="s">
        <v>785</v>
      </c>
      <c r="C486" t="s">
        <v>272</v>
      </c>
      <c r="D486" t="s">
        <v>26</v>
      </c>
      <c r="E486" t="s">
        <v>27</v>
      </c>
      <c r="F486" t="s">
        <v>28</v>
      </c>
      <c r="G486">
        <v>5</v>
      </c>
      <c r="H486">
        <v>828.61</v>
      </c>
      <c r="I486">
        <v>5</v>
      </c>
      <c r="J486" t="s">
        <v>98</v>
      </c>
      <c r="K486">
        <f>SalesTable[[#This Row],[Quantity]]*SalesTable[[#This Row],[Unit Price]]*(1-SalesTable[[#This Row],[Discount (%)]]/100)</f>
        <v>3935.8975</v>
      </c>
    </row>
    <row r="487" spans="1:11" x14ac:dyDescent="0.25">
      <c r="A487" s="6">
        <v>46113</v>
      </c>
      <c r="B487" t="s">
        <v>786</v>
      </c>
      <c r="C487" t="s">
        <v>251</v>
      </c>
      <c r="D487" t="s">
        <v>26</v>
      </c>
      <c r="E487" t="s">
        <v>14</v>
      </c>
      <c r="F487" t="s">
        <v>21</v>
      </c>
      <c r="G487">
        <v>5</v>
      </c>
      <c r="H487">
        <v>787.5</v>
      </c>
      <c r="I487">
        <v>0</v>
      </c>
      <c r="J487" t="s">
        <v>16</v>
      </c>
      <c r="K487">
        <f>SalesTable[[#This Row],[Quantity]]*SalesTable[[#This Row],[Unit Price]]*(1-SalesTable[[#This Row],[Discount (%)]]/100)</f>
        <v>3937.5</v>
      </c>
    </row>
    <row r="488" spans="1:11" x14ac:dyDescent="0.25">
      <c r="A488" s="6">
        <v>46088</v>
      </c>
      <c r="B488" t="s">
        <v>787</v>
      </c>
      <c r="C488" t="s">
        <v>132</v>
      </c>
      <c r="D488" t="s">
        <v>20</v>
      </c>
      <c r="E488" t="s">
        <v>14</v>
      </c>
      <c r="F488" t="s">
        <v>21</v>
      </c>
      <c r="G488">
        <v>7</v>
      </c>
      <c r="H488">
        <v>761.33</v>
      </c>
      <c r="I488">
        <v>15</v>
      </c>
      <c r="J488" t="s">
        <v>22</v>
      </c>
      <c r="K488">
        <f>SalesTable[[#This Row],[Quantity]]*SalesTable[[#This Row],[Unit Price]]*(1-SalesTable[[#This Row],[Discount (%)]]/100)</f>
        <v>4529.9135000000006</v>
      </c>
    </row>
    <row r="489" spans="1:11" x14ac:dyDescent="0.25">
      <c r="A489" s="6">
        <v>46065</v>
      </c>
      <c r="B489" t="s">
        <v>788</v>
      </c>
      <c r="C489" t="s">
        <v>356</v>
      </c>
      <c r="D489" t="s">
        <v>41</v>
      </c>
      <c r="E489" t="s">
        <v>14</v>
      </c>
      <c r="F489" t="s">
        <v>15</v>
      </c>
      <c r="G489">
        <v>2</v>
      </c>
      <c r="H489">
        <v>847.55</v>
      </c>
      <c r="I489">
        <v>0</v>
      </c>
      <c r="J489" t="s">
        <v>98</v>
      </c>
      <c r="K489">
        <f>SalesTable[[#This Row],[Quantity]]*SalesTable[[#This Row],[Unit Price]]*(1-SalesTable[[#This Row],[Discount (%)]]/100)</f>
        <v>1695.1</v>
      </c>
    </row>
    <row r="490" spans="1:11" x14ac:dyDescent="0.25">
      <c r="A490" s="6">
        <v>46229</v>
      </c>
      <c r="B490" t="s">
        <v>789</v>
      </c>
      <c r="C490" t="s">
        <v>155</v>
      </c>
      <c r="D490" t="s">
        <v>26</v>
      </c>
      <c r="E490" t="s">
        <v>33</v>
      </c>
      <c r="F490" t="s">
        <v>34</v>
      </c>
      <c r="G490">
        <v>7</v>
      </c>
      <c r="H490">
        <v>678.62</v>
      </c>
      <c r="I490">
        <v>15</v>
      </c>
      <c r="J490" t="s">
        <v>22</v>
      </c>
      <c r="K490">
        <f>SalesTable[[#This Row],[Quantity]]*SalesTable[[#This Row],[Unit Price]]*(1-SalesTable[[#This Row],[Discount (%)]]/100)</f>
        <v>4037.7890000000002</v>
      </c>
    </row>
    <row r="491" spans="1:11" x14ac:dyDescent="0.25">
      <c r="A491" s="6">
        <v>46043</v>
      </c>
      <c r="B491" t="s">
        <v>790</v>
      </c>
      <c r="C491" t="s">
        <v>72</v>
      </c>
      <c r="D491" t="s">
        <v>20</v>
      </c>
      <c r="E491" t="s">
        <v>14</v>
      </c>
      <c r="F491" t="s">
        <v>15</v>
      </c>
      <c r="G491">
        <v>1</v>
      </c>
      <c r="H491">
        <v>1120.05</v>
      </c>
      <c r="I491">
        <v>0</v>
      </c>
      <c r="J491" t="s">
        <v>22</v>
      </c>
      <c r="K491">
        <f>SalesTable[[#This Row],[Quantity]]*SalesTable[[#This Row],[Unit Price]]*(1-SalesTable[[#This Row],[Discount (%)]]/100)</f>
        <v>1120.05</v>
      </c>
    </row>
    <row r="492" spans="1:11" x14ac:dyDescent="0.25">
      <c r="A492" s="6">
        <v>46124</v>
      </c>
      <c r="B492" t="s">
        <v>791</v>
      </c>
      <c r="C492" t="s">
        <v>37</v>
      </c>
      <c r="D492" t="s">
        <v>13</v>
      </c>
      <c r="E492" t="s">
        <v>62</v>
      </c>
      <c r="F492" t="s">
        <v>63</v>
      </c>
      <c r="G492">
        <v>10</v>
      </c>
      <c r="H492">
        <v>386.86</v>
      </c>
      <c r="I492">
        <v>10</v>
      </c>
      <c r="J492" t="s">
        <v>22</v>
      </c>
      <c r="K492">
        <f>SalesTable[[#This Row],[Quantity]]*SalesTable[[#This Row],[Unit Price]]*(1-SalesTable[[#This Row],[Discount (%)]]/100)</f>
        <v>3481.7400000000002</v>
      </c>
    </row>
    <row r="493" spans="1:11" x14ac:dyDescent="0.25">
      <c r="A493" s="6">
        <v>46061</v>
      </c>
      <c r="B493" t="s">
        <v>792</v>
      </c>
      <c r="C493" t="s">
        <v>132</v>
      </c>
      <c r="D493" t="s">
        <v>26</v>
      </c>
      <c r="E493" t="s">
        <v>14</v>
      </c>
      <c r="F493" t="s">
        <v>21</v>
      </c>
      <c r="G493">
        <v>9</v>
      </c>
      <c r="H493">
        <v>1023.26</v>
      </c>
      <c r="I493">
        <v>10</v>
      </c>
      <c r="J493" t="s">
        <v>29</v>
      </c>
      <c r="K493">
        <f>SalesTable[[#This Row],[Quantity]]*SalesTable[[#This Row],[Unit Price]]*(1-SalesTable[[#This Row],[Discount (%)]]/100)</f>
        <v>8288.4060000000009</v>
      </c>
    </row>
    <row r="494" spans="1:11" x14ac:dyDescent="0.25">
      <c r="A494" s="6">
        <v>46032</v>
      </c>
      <c r="B494" t="s">
        <v>793</v>
      </c>
      <c r="C494" t="s">
        <v>91</v>
      </c>
      <c r="D494" t="s">
        <v>20</v>
      </c>
      <c r="E494" t="s">
        <v>33</v>
      </c>
      <c r="F494" t="s">
        <v>34</v>
      </c>
      <c r="G494">
        <v>7</v>
      </c>
      <c r="H494">
        <v>974.32</v>
      </c>
      <c r="I494">
        <v>5</v>
      </c>
      <c r="J494" t="s">
        <v>22</v>
      </c>
      <c r="K494">
        <f>SalesTable[[#This Row],[Quantity]]*SalesTable[[#This Row],[Unit Price]]*(1-SalesTable[[#This Row],[Discount (%)]]/100)</f>
        <v>6479.2280000000001</v>
      </c>
    </row>
    <row r="495" spans="1:11" x14ac:dyDescent="0.25">
      <c r="A495" s="6">
        <v>46221</v>
      </c>
      <c r="B495" t="s">
        <v>794</v>
      </c>
      <c r="C495" t="s">
        <v>269</v>
      </c>
      <c r="D495" t="s">
        <v>13</v>
      </c>
      <c r="E495" t="s">
        <v>62</v>
      </c>
      <c r="F495" t="s">
        <v>92</v>
      </c>
      <c r="G495">
        <v>1</v>
      </c>
      <c r="H495">
        <v>1092.69</v>
      </c>
      <c r="I495">
        <v>0</v>
      </c>
      <c r="J495" t="s">
        <v>22</v>
      </c>
      <c r="K495">
        <f>SalesTable[[#This Row],[Quantity]]*SalesTable[[#This Row],[Unit Price]]*(1-SalesTable[[#This Row],[Discount (%)]]/100)</f>
        <v>1092.69</v>
      </c>
    </row>
    <row r="496" spans="1:11" x14ac:dyDescent="0.25">
      <c r="A496" s="6">
        <v>46220</v>
      </c>
      <c r="B496" t="s">
        <v>795</v>
      </c>
      <c r="C496" t="s">
        <v>352</v>
      </c>
      <c r="D496" t="s">
        <v>26</v>
      </c>
      <c r="E496" t="s">
        <v>62</v>
      </c>
      <c r="F496" t="s">
        <v>92</v>
      </c>
      <c r="G496">
        <v>9</v>
      </c>
      <c r="H496">
        <v>84.55</v>
      </c>
      <c r="I496">
        <v>15</v>
      </c>
      <c r="J496" t="s">
        <v>16</v>
      </c>
      <c r="K496">
        <f>SalesTable[[#This Row],[Quantity]]*SalesTable[[#This Row],[Unit Price]]*(1-SalesTable[[#This Row],[Discount (%)]]/100)</f>
        <v>646.80749999999989</v>
      </c>
    </row>
    <row r="497" spans="1:11" x14ac:dyDescent="0.25">
      <c r="A497" s="6">
        <v>46155</v>
      </c>
      <c r="B497" t="s">
        <v>796</v>
      </c>
      <c r="C497" t="s">
        <v>124</v>
      </c>
      <c r="D497" t="s">
        <v>20</v>
      </c>
      <c r="E497" t="s">
        <v>27</v>
      </c>
      <c r="F497" t="s">
        <v>42</v>
      </c>
      <c r="G497">
        <v>9</v>
      </c>
      <c r="H497">
        <v>770.37</v>
      </c>
      <c r="I497">
        <v>10</v>
      </c>
      <c r="J497" t="s">
        <v>22</v>
      </c>
      <c r="K497">
        <f>SalesTable[[#This Row],[Quantity]]*SalesTable[[#This Row],[Unit Price]]*(1-SalesTable[[#This Row],[Discount (%)]]/100)</f>
        <v>6239.9970000000003</v>
      </c>
    </row>
    <row r="498" spans="1:11" x14ac:dyDescent="0.25">
      <c r="A498" s="6">
        <v>46137</v>
      </c>
      <c r="B498" t="s">
        <v>797</v>
      </c>
      <c r="C498" t="s">
        <v>142</v>
      </c>
      <c r="D498" t="s">
        <v>20</v>
      </c>
      <c r="E498" t="s">
        <v>14</v>
      </c>
      <c r="F498" t="s">
        <v>76</v>
      </c>
      <c r="G498">
        <v>4</v>
      </c>
      <c r="H498">
        <v>1037.73</v>
      </c>
      <c r="I498">
        <v>5</v>
      </c>
      <c r="J498" t="s">
        <v>47</v>
      </c>
      <c r="K498">
        <f>SalesTable[[#This Row],[Quantity]]*SalesTable[[#This Row],[Unit Price]]*(1-SalesTable[[#This Row],[Discount (%)]]/100)</f>
        <v>3943.3739999999998</v>
      </c>
    </row>
    <row r="499" spans="1:11" x14ac:dyDescent="0.25">
      <c r="A499" s="6">
        <v>46055</v>
      </c>
      <c r="B499" t="s">
        <v>798</v>
      </c>
      <c r="C499" t="s">
        <v>269</v>
      </c>
      <c r="D499" t="s">
        <v>41</v>
      </c>
      <c r="E499" t="s">
        <v>27</v>
      </c>
      <c r="F499" t="s">
        <v>51</v>
      </c>
      <c r="G499">
        <v>5</v>
      </c>
      <c r="H499">
        <v>1150.5899999999999</v>
      </c>
      <c r="I499">
        <v>5</v>
      </c>
      <c r="J499" t="s">
        <v>29</v>
      </c>
      <c r="K499">
        <f>SalesTable[[#This Row],[Quantity]]*SalesTable[[#This Row],[Unit Price]]*(1-SalesTable[[#This Row],[Discount (%)]]/100)</f>
        <v>5465.3024999999998</v>
      </c>
    </row>
    <row r="500" spans="1:11" x14ac:dyDescent="0.25">
      <c r="A500" s="6">
        <v>46087</v>
      </c>
      <c r="B500" t="s">
        <v>799</v>
      </c>
      <c r="C500" t="s">
        <v>124</v>
      </c>
      <c r="D500" t="s">
        <v>20</v>
      </c>
      <c r="E500" t="s">
        <v>33</v>
      </c>
      <c r="F500" t="s">
        <v>34</v>
      </c>
      <c r="G500">
        <v>7</v>
      </c>
      <c r="H500">
        <v>1057.8900000000001</v>
      </c>
      <c r="I500">
        <v>15</v>
      </c>
      <c r="J500" t="s">
        <v>22</v>
      </c>
      <c r="K500">
        <f>SalesTable[[#This Row],[Quantity]]*SalesTable[[#This Row],[Unit Price]]*(1-SalesTable[[#This Row],[Discount (%)]]/100)</f>
        <v>6294.4454999999998</v>
      </c>
    </row>
    <row r="501" spans="1:11" x14ac:dyDescent="0.25">
      <c r="A501" s="6">
        <v>46088</v>
      </c>
      <c r="B501" t="s">
        <v>800</v>
      </c>
      <c r="C501" t="s">
        <v>135</v>
      </c>
      <c r="D501" t="s">
        <v>20</v>
      </c>
      <c r="E501" t="s">
        <v>27</v>
      </c>
      <c r="F501" t="s">
        <v>42</v>
      </c>
      <c r="G501">
        <v>5</v>
      </c>
      <c r="H501">
        <v>394.09</v>
      </c>
      <c r="I501">
        <v>15</v>
      </c>
      <c r="J501" t="s">
        <v>98</v>
      </c>
      <c r="K501">
        <f>SalesTable[[#This Row],[Quantity]]*SalesTable[[#This Row],[Unit Price]]*(1-SalesTable[[#This Row],[Discount (%)]]/100)</f>
        <v>1674.8824999999997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A6" sqref="A6"/>
    </sheetView>
  </sheetViews>
  <sheetFormatPr defaultRowHeight="15" x14ac:dyDescent="0.25"/>
  <cols>
    <col min="1" max="2" width="11" customWidth="1"/>
  </cols>
  <sheetData>
    <row r="1" spans="1:2" ht="15.75" thickBot="1" x14ac:dyDescent="0.3">
      <c r="A1" s="7"/>
      <c r="B1" s="8"/>
    </row>
    <row r="2" spans="1:2" ht="15.75" thickTop="1" x14ac:dyDescent="0.25">
      <c r="A2" s="9" t="s">
        <v>802</v>
      </c>
      <c r="B2" s="10">
        <f>SUM(SalesTable[Total Sale])</f>
        <v>1594067.6490000004</v>
      </c>
    </row>
    <row r="3" spans="1:2" x14ac:dyDescent="0.25">
      <c r="A3" s="11" t="s">
        <v>803</v>
      </c>
      <c r="B3" s="1">
        <f>COUNTA(SalesTable[Order ID])</f>
        <v>500</v>
      </c>
    </row>
    <row r="4" spans="1:2" x14ac:dyDescent="0.25">
      <c r="A4" s="2" t="s">
        <v>804</v>
      </c>
      <c r="B4" s="12">
        <f>AVERAGE(SalesTable[Total Sale])</f>
        <v>3188.1352980000011</v>
      </c>
    </row>
    <row r="5" spans="1:2" x14ac:dyDescent="0.25">
      <c r="A5" s="11" t="s">
        <v>805</v>
      </c>
      <c r="B5" s="1">
        <f>SUM(SalesTable[Quantity])</f>
        <v>2851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4"/>
  <sheetViews>
    <sheetView tabSelected="1" zoomScale="90" zoomScaleNormal="90" workbookViewId="0">
      <selection activeCell="M20" sqref="M20"/>
    </sheetView>
  </sheetViews>
  <sheetFormatPr defaultRowHeight="15" x14ac:dyDescent="0.25"/>
  <cols>
    <col min="1" max="1" width="31.140625" customWidth="1"/>
    <col min="2" max="2" width="16.28515625" bestFit="1" customWidth="1"/>
  </cols>
  <sheetData>
    <row r="3" spans="1:2" x14ac:dyDescent="0.25">
      <c r="A3" s="4" t="s">
        <v>808</v>
      </c>
      <c r="B3" t="s">
        <v>806</v>
      </c>
    </row>
    <row r="4" spans="1:2" x14ac:dyDescent="0.25">
      <c r="A4" s="5" t="s">
        <v>20</v>
      </c>
      <c r="B4" s="3">
        <v>431839.11150000006</v>
      </c>
    </row>
    <row r="5" spans="1:2" x14ac:dyDescent="0.25">
      <c r="A5" s="5" t="s">
        <v>13</v>
      </c>
      <c r="B5" s="3">
        <v>444823.18549999996</v>
      </c>
    </row>
    <row r="6" spans="1:2" x14ac:dyDescent="0.25">
      <c r="A6" s="5" t="s">
        <v>41</v>
      </c>
      <c r="B6" s="3">
        <v>311705.80650000018</v>
      </c>
    </row>
    <row r="7" spans="1:2" x14ac:dyDescent="0.25">
      <c r="A7" s="5" t="s">
        <v>26</v>
      </c>
      <c r="B7" s="3">
        <v>405699.54550000007</v>
      </c>
    </row>
    <row r="8" spans="1:2" x14ac:dyDescent="0.25">
      <c r="A8" s="5" t="s">
        <v>807</v>
      </c>
      <c r="B8" s="3">
        <v>1594067.6490000002</v>
      </c>
    </row>
    <row r="15" spans="1:2" x14ac:dyDescent="0.25">
      <c r="A15" s="4" t="s">
        <v>809</v>
      </c>
      <c r="B15" t="s">
        <v>806</v>
      </c>
    </row>
    <row r="16" spans="1:2" x14ac:dyDescent="0.25">
      <c r="A16" s="5" t="s">
        <v>27</v>
      </c>
      <c r="B16" s="3">
        <v>432251.52</v>
      </c>
    </row>
    <row r="17" spans="1:2" x14ac:dyDescent="0.25">
      <c r="A17" s="5" t="s">
        <v>62</v>
      </c>
      <c r="B17" s="3">
        <v>352857.68900000013</v>
      </c>
    </row>
    <row r="18" spans="1:2" x14ac:dyDescent="0.25">
      <c r="A18" s="5" t="s">
        <v>14</v>
      </c>
      <c r="B18" s="3">
        <v>442422.87700000004</v>
      </c>
    </row>
    <row r="19" spans="1:2" x14ac:dyDescent="0.25">
      <c r="A19" s="5" t="s">
        <v>33</v>
      </c>
      <c r="B19" s="3">
        <v>366535.56300000002</v>
      </c>
    </row>
    <row r="20" spans="1:2" x14ac:dyDescent="0.25">
      <c r="A20" s="5" t="s">
        <v>807</v>
      </c>
      <c r="B20" s="3">
        <v>1594067.6490000002</v>
      </c>
    </row>
    <row r="26" spans="1:2" x14ac:dyDescent="0.25">
      <c r="A26" s="4" t="s">
        <v>817</v>
      </c>
      <c r="B26" t="s">
        <v>806</v>
      </c>
    </row>
    <row r="27" spans="1:2" x14ac:dyDescent="0.25">
      <c r="A27" s="5" t="s">
        <v>810</v>
      </c>
      <c r="B27" s="3">
        <v>269342.5955</v>
      </c>
    </row>
    <row r="28" spans="1:2" x14ac:dyDescent="0.25">
      <c r="A28" s="5" t="s">
        <v>811</v>
      </c>
      <c r="B28" s="3">
        <v>247334.80649999995</v>
      </c>
    </row>
    <row r="29" spans="1:2" x14ac:dyDescent="0.25">
      <c r="A29" s="5" t="s">
        <v>812</v>
      </c>
      <c r="B29" s="3">
        <v>222517.61700000003</v>
      </c>
    </row>
    <row r="30" spans="1:2" x14ac:dyDescent="0.25">
      <c r="A30" s="5" t="s">
        <v>813</v>
      </c>
      <c r="B30" s="3">
        <v>233046.86250000005</v>
      </c>
    </row>
    <row r="31" spans="1:2" x14ac:dyDescent="0.25">
      <c r="A31" s="5" t="s">
        <v>814</v>
      </c>
      <c r="B31" s="3">
        <v>179979.3425</v>
      </c>
    </row>
    <row r="32" spans="1:2" x14ac:dyDescent="0.25">
      <c r="A32" s="5" t="s">
        <v>815</v>
      </c>
      <c r="B32" s="3">
        <v>228645.28649999996</v>
      </c>
    </row>
    <row r="33" spans="1:2" x14ac:dyDescent="0.25">
      <c r="A33" s="5" t="s">
        <v>816</v>
      </c>
      <c r="B33" s="3">
        <v>213201.1385</v>
      </c>
    </row>
    <row r="34" spans="1:2" x14ac:dyDescent="0.25">
      <c r="A34" s="5" t="s">
        <v>807</v>
      </c>
      <c r="B34" s="3">
        <v>1594067.6489999997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Sales Table</vt:lpstr>
      <vt:lpstr>Report Sheet</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2026-08-03T10:20:34Z</dcterms:created>
  <dcterms:modified xsi:type="dcterms:W3CDTF">2026-08-15T11:47:12Z</dcterms:modified>
</cp:coreProperties>
</file>